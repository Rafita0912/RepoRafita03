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PcAsusZenbookRafita\Desktop\REPO_RAFAEL_ANTEQUERA\TRABAJOS-PYTHON\COTIZA_ALU_TEM\"/>
    </mc:Choice>
  </mc:AlternateContent>
  <xr:revisionPtr revIDLastSave="0" documentId="13_ncr:1_{5FB5016A-37C6-4B11-BB68-8C46F0BA69ED}" xr6:coauthVersionLast="47" xr6:coauthVersionMax="47" xr10:uidLastSave="{00000000-0000-0000-0000-000000000000}"/>
  <bookViews>
    <workbookView xWindow="-108" yWindow="-108" windowWidth="23256" windowHeight="12456" activeTab="1" xr2:uid="{1B3D5D76-0D2B-4247-8E51-F5AC57810600}"/>
  </bookViews>
  <sheets>
    <sheet name="Costo M.P.yMat." sheetId="1" r:id="rId1"/>
    <sheet name="Costo M.P.yMat. (2)" sheetId="2" r:id="rId2"/>
  </sheets>
  <definedNames>
    <definedName name="_xlnm.Print_Area" localSheetId="0">'Costo M.P.yMat.'!$A$2:$F$94</definedName>
    <definedName name="_xlnm.Print_Area" localSheetId="1">'Costo M.P.yMat. (2)'!$A$2:$T$242</definedName>
    <definedName name="_xlnm.Print_Titles" localSheetId="1">'Costo M.P.yMat. (2)'!$2:$5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48" i="2" l="1"/>
  <c r="W247" i="2"/>
  <c r="W246" i="2"/>
  <c r="W245" i="2"/>
  <c r="W244" i="2"/>
  <c r="W243" i="2"/>
  <c r="W240" i="2"/>
  <c r="W239" i="2"/>
  <c r="W236" i="2"/>
  <c r="W235" i="2"/>
  <c r="W234" i="2"/>
  <c r="W233" i="2"/>
  <c r="W232" i="2"/>
  <c r="W231" i="2"/>
  <c r="W230" i="2"/>
  <c r="W229" i="2"/>
  <c r="W228" i="2"/>
  <c r="W227" i="2"/>
  <c r="W226" i="2"/>
  <c r="W225" i="2"/>
  <c r="W224" i="2"/>
  <c r="W223" i="2"/>
  <c r="AB202" i="2" l="1"/>
  <c r="W202" i="2"/>
  <c r="W218" i="2"/>
  <c r="W217" i="2"/>
  <c r="W220" i="2"/>
  <c r="W219" i="2"/>
  <c r="W242" i="2"/>
  <c r="W241" i="2"/>
  <c r="W6" i="2"/>
  <c r="W238" i="2"/>
  <c r="W237" i="2"/>
  <c r="W222" i="2"/>
  <c r="W221" i="2"/>
  <c r="W214" i="2"/>
  <c r="W213" i="2"/>
  <c r="W216" i="2"/>
  <c r="W215" i="2"/>
  <c r="W212" i="2"/>
  <c r="W211" i="2"/>
  <c r="W210" i="2"/>
  <c r="W209" i="2"/>
  <c r="W208" i="2"/>
  <c r="W207" i="2"/>
  <c r="W206" i="2"/>
  <c r="W205" i="2"/>
  <c r="W204" i="2"/>
  <c r="W203"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H194" i="1"/>
  <c r="L194" i="1"/>
  <c r="J194" i="1"/>
  <c r="G194" i="1"/>
  <c r="I194" i="1"/>
  <c r="J85" i="1"/>
  <c r="I85" i="1"/>
  <c r="H85" i="1"/>
  <c r="G85" i="1"/>
  <c r="F85" i="1"/>
  <c r="E85" i="1"/>
  <c r="AB93" i="2"/>
  <c r="AB92" i="2"/>
  <c r="AB91" i="2"/>
  <c r="AB90" i="2"/>
  <c r="AB89" i="2"/>
  <c r="AB88" i="2"/>
  <c r="AB87" i="2"/>
  <c r="AB86" i="2"/>
  <c r="AB85" i="2"/>
  <c r="AB84" i="2"/>
  <c r="AB192" i="2"/>
  <c r="AB193" i="2"/>
  <c r="AB194" i="2"/>
  <c r="AB195" i="2"/>
  <c r="AB196" i="2"/>
  <c r="AB197" i="2"/>
  <c r="AB198" i="2"/>
  <c r="AB199" i="2"/>
  <c r="AB200" i="2"/>
  <c r="AB201" i="2"/>
  <c r="AB208" i="2"/>
  <c r="AB207" i="2"/>
  <c r="AB206" i="2"/>
  <c r="AB205" i="2"/>
  <c r="AB204" i="2"/>
  <c r="AB203" i="2"/>
  <c r="AB191" i="2"/>
  <c r="AB190" i="2"/>
  <c r="AB189" i="2"/>
  <c r="AB188" i="2"/>
  <c r="AB187" i="2"/>
  <c r="AB186" i="2"/>
  <c r="AB185" i="2"/>
  <c r="AB184" i="2"/>
  <c r="AB183" i="2"/>
  <c r="AB182" i="2"/>
  <c r="AB181" i="2"/>
  <c r="AB180" i="2"/>
  <c r="AB179" i="2"/>
  <c r="AB178" i="2"/>
  <c r="AB177" i="2"/>
  <c r="AB176" i="2"/>
  <c r="AB175" i="2"/>
  <c r="AB174" i="2"/>
  <c r="AB173" i="2"/>
  <c r="AB172" i="2"/>
  <c r="AB171" i="2"/>
  <c r="AB170" i="2"/>
  <c r="AB169" i="2"/>
  <c r="AB168" i="2"/>
  <c r="AB167" i="2"/>
  <c r="AB166" i="2"/>
  <c r="AB165" i="2"/>
  <c r="AB164" i="2"/>
  <c r="AB163" i="2"/>
  <c r="AB162" i="2"/>
  <c r="AB161" i="2"/>
  <c r="AB160" i="2"/>
  <c r="AB159" i="2"/>
  <c r="AB158" i="2"/>
  <c r="AB157" i="2"/>
  <c r="AB156" i="2"/>
  <c r="AB155" i="2"/>
  <c r="AB154" i="2"/>
  <c r="AB153" i="2"/>
  <c r="AB152" i="2"/>
  <c r="AB151" i="2"/>
  <c r="AB150" i="2"/>
  <c r="AB149" i="2"/>
  <c r="AB148" i="2"/>
  <c r="AB147" i="2"/>
  <c r="AB146" i="2"/>
  <c r="AB145" i="2"/>
  <c r="AB144" i="2"/>
  <c r="AB143" i="2"/>
  <c r="AB142" i="2"/>
  <c r="AB141" i="2"/>
  <c r="AB140" i="2"/>
  <c r="AB139" i="2"/>
  <c r="AB138" i="2"/>
  <c r="AB137" i="2"/>
  <c r="AB136" i="2"/>
  <c r="AB135" i="2"/>
  <c r="AB134" i="2"/>
  <c r="AB133" i="2"/>
  <c r="AB132" i="2"/>
  <c r="AB131" i="2"/>
  <c r="AB130" i="2"/>
  <c r="AB129" i="2"/>
  <c r="AB128" i="2"/>
  <c r="AB127" i="2"/>
  <c r="AB126" i="2"/>
  <c r="AB125" i="2"/>
  <c r="AB124" i="2"/>
  <c r="AB123" i="2"/>
  <c r="AB122" i="2"/>
  <c r="AB121" i="2"/>
  <c r="AB120" i="2"/>
  <c r="AB119" i="2"/>
  <c r="AB118" i="2"/>
  <c r="AB117" i="2"/>
  <c r="AB116" i="2"/>
  <c r="AB115" i="2"/>
  <c r="AB114" i="2"/>
  <c r="AB113" i="2"/>
  <c r="AB112" i="2"/>
  <c r="AB111" i="2"/>
  <c r="AB110" i="2"/>
  <c r="AB109" i="2"/>
  <c r="AB108" i="2"/>
  <c r="AB107" i="2"/>
  <c r="AB106" i="2"/>
  <c r="AB105" i="2"/>
  <c r="AB104" i="2"/>
  <c r="AB103" i="2"/>
  <c r="AB102" i="2"/>
  <c r="AB101" i="2"/>
  <c r="AB100" i="2"/>
  <c r="AB99" i="2"/>
  <c r="AB98" i="2"/>
  <c r="AB97" i="2"/>
  <c r="AB96" i="2"/>
  <c r="AB95" i="2"/>
  <c r="AB94" i="2"/>
  <c r="AB83" i="2"/>
  <c r="AB82" i="2"/>
  <c r="AB81" i="2"/>
  <c r="AB80" i="2"/>
  <c r="AB79" i="2"/>
  <c r="AB78" i="2"/>
  <c r="AB77" i="2"/>
  <c r="AB76" i="2"/>
  <c r="AB75" i="2"/>
  <c r="AB74" i="2"/>
  <c r="AB73" i="2"/>
  <c r="AB72" i="2"/>
  <c r="AB71" i="2"/>
  <c r="AB70" i="2"/>
  <c r="AB69" i="2"/>
  <c r="AB68" i="2"/>
  <c r="AB67" i="2"/>
  <c r="AB66" i="2"/>
  <c r="AB65" i="2"/>
  <c r="AB64" i="2"/>
  <c r="AB63" i="2"/>
  <c r="AB62" i="2"/>
  <c r="AB61" i="2"/>
  <c r="AB60" i="2"/>
  <c r="AB59" i="2"/>
  <c r="AB58" i="2"/>
  <c r="AB57" i="2"/>
  <c r="AB56" i="2"/>
  <c r="AB55" i="2"/>
  <c r="AB54" i="2"/>
  <c r="AB53" i="2"/>
  <c r="AB52" i="2"/>
  <c r="AB51" i="2"/>
  <c r="AB50" i="2"/>
  <c r="AB49" i="2"/>
  <c r="AB48" i="2"/>
  <c r="AB47" i="2"/>
  <c r="AB46" i="2"/>
  <c r="AB45" i="2"/>
  <c r="AB44" i="2"/>
  <c r="AB43" i="2"/>
  <c r="AB42" i="2"/>
  <c r="AB41" i="2"/>
  <c r="AB40" i="2"/>
  <c r="AB39" i="2"/>
  <c r="AB38" i="2"/>
  <c r="AB37" i="2"/>
  <c r="AB36" i="2"/>
  <c r="AB35" i="2"/>
  <c r="AB34" i="2"/>
  <c r="AB33" i="2"/>
  <c r="AB32" i="2"/>
  <c r="AB31" i="2"/>
  <c r="AB30" i="2"/>
  <c r="AB29" i="2"/>
  <c r="AB28" i="2"/>
  <c r="AB27" i="2"/>
  <c r="AB26" i="2"/>
  <c r="AB25" i="2"/>
  <c r="AB24" i="2"/>
  <c r="AB23" i="2"/>
  <c r="AB22" i="2"/>
  <c r="AB21" i="2"/>
  <c r="AB20" i="2"/>
  <c r="AB19" i="2"/>
  <c r="AB18" i="2"/>
  <c r="AB17" i="2"/>
  <c r="AB16" i="2"/>
  <c r="AB15" i="2"/>
  <c r="AB14" i="2"/>
  <c r="AB13" i="2"/>
  <c r="AB12" i="2"/>
  <c r="AB11" i="2"/>
  <c r="AB10" i="2"/>
  <c r="AB9" i="2"/>
  <c r="AB8" i="2"/>
  <c r="AB7" i="2"/>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2" i="1"/>
  <c r="J21" i="1"/>
  <c r="J20" i="1"/>
  <c r="J19" i="1"/>
  <c r="J18" i="1"/>
  <c r="J17" i="1"/>
  <c r="J16" i="1"/>
  <c r="J15" i="1"/>
  <c r="J14" i="1"/>
  <c r="J13" i="1"/>
  <c r="J12" i="1"/>
  <c r="J11" i="1"/>
  <c r="J10" i="1"/>
  <c r="J9" i="1"/>
  <c r="J8" i="1"/>
  <c r="J7"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2" i="1"/>
  <c r="I21" i="1"/>
  <c r="I20" i="1"/>
  <c r="I19" i="1"/>
  <c r="I18" i="1"/>
  <c r="I17" i="1"/>
  <c r="I16" i="1"/>
  <c r="I15" i="1"/>
  <c r="I14" i="1"/>
  <c r="I13" i="1"/>
  <c r="I12" i="1"/>
  <c r="I11" i="1"/>
  <c r="I10" i="1"/>
  <c r="I9" i="1"/>
  <c r="I8" i="1"/>
  <c r="I7" i="1"/>
  <c r="H193" i="1"/>
  <c r="G193" i="1"/>
  <c r="H192" i="1"/>
  <c r="G192" i="1"/>
  <c r="H191" i="1"/>
  <c r="G191" i="1"/>
  <c r="H190" i="1"/>
  <c r="G190" i="1"/>
  <c r="H189" i="1"/>
  <c r="G189" i="1"/>
  <c r="H188" i="1"/>
  <c r="G188" i="1"/>
  <c r="H187" i="1"/>
  <c r="G187" i="1"/>
  <c r="H186" i="1"/>
  <c r="G186" i="1"/>
  <c r="H185" i="1"/>
  <c r="G185" i="1"/>
  <c r="H184" i="1"/>
  <c r="G184" i="1"/>
  <c r="H183" i="1"/>
  <c r="G183" i="1"/>
  <c r="H182" i="1"/>
  <c r="G182" i="1"/>
  <c r="H181" i="1"/>
  <c r="G181" i="1"/>
  <c r="H180" i="1"/>
  <c r="G180" i="1"/>
  <c r="H179" i="1"/>
  <c r="G179" i="1"/>
  <c r="H178" i="1"/>
  <c r="G178" i="1"/>
  <c r="H177" i="1"/>
  <c r="G177" i="1"/>
  <c r="H176" i="1"/>
  <c r="G176" i="1"/>
  <c r="H175" i="1"/>
  <c r="G175" i="1"/>
  <c r="H174" i="1"/>
  <c r="G174" i="1"/>
  <c r="H173" i="1"/>
  <c r="G173" i="1"/>
  <c r="H172" i="1"/>
  <c r="G172" i="1"/>
  <c r="H171" i="1"/>
  <c r="G171" i="1"/>
  <c r="H170" i="1"/>
  <c r="G170" i="1"/>
  <c r="H169" i="1"/>
  <c r="G169" i="1"/>
  <c r="H168" i="1"/>
  <c r="G168" i="1"/>
  <c r="H167" i="1"/>
  <c r="G167" i="1"/>
  <c r="H166" i="1"/>
  <c r="G166" i="1"/>
  <c r="H165" i="1"/>
  <c r="G165" i="1"/>
  <c r="H164" i="1"/>
  <c r="G164" i="1"/>
  <c r="H163" i="1"/>
  <c r="G163" i="1"/>
  <c r="H162" i="1"/>
  <c r="G162" i="1"/>
  <c r="H161" i="1"/>
  <c r="G161" i="1"/>
  <c r="H160" i="1"/>
  <c r="G160" i="1"/>
  <c r="H159" i="1"/>
  <c r="G159" i="1"/>
  <c r="H158" i="1"/>
  <c r="G158" i="1"/>
  <c r="H157" i="1"/>
  <c r="G157" i="1"/>
  <c r="H156" i="1"/>
  <c r="G156" i="1"/>
  <c r="H155" i="1"/>
  <c r="G155" i="1"/>
  <c r="H154" i="1"/>
  <c r="G154" i="1"/>
  <c r="H153" i="1"/>
  <c r="G153" i="1"/>
  <c r="H152" i="1"/>
  <c r="G152" i="1"/>
  <c r="H151" i="1"/>
  <c r="G151" i="1"/>
  <c r="H150" i="1"/>
  <c r="G150" i="1"/>
  <c r="H149" i="1"/>
  <c r="G149" i="1"/>
  <c r="H148" i="1"/>
  <c r="G148" i="1"/>
  <c r="H147" i="1"/>
  <c r="G147" i="1"/>
  <c r="H146" i="1"/>
  <c r="G146" i="1"/>
  <c r="H145" i="1"/>
  <c r="G145" i="1"/>
  <c r="H144" i="1"/>
  <c r="G144" i="1"/>
  <c r="H143" i="1"/>
  <c r="G143" i="1"/>
  <c r="H142" i="1"/>
  <c r="G142" i="1"/>
  <c r="H141" i="1"/>
  <c r="G141" i="1"/>
  <c r="H140" i="1"/>
  <c r="G140" i="1"/>
  <c r="H139" i="1"/>
  <c r="G139" i="1"/>
  <c r="H138" i="1"/>
  <c r="G138" i="1"/>
  <c r="H137" i="1"/>
  <c r="G137" i="1"/>
  <c r="H136" i="1"/>
  <c r="G136" i="1"/>
  <c r="H135" i="1"/>
  <c r="G135" i="1"/>
  <c r="H134" i="1"/>
  <c r="G134" i="1"/>
  <c r="H133" i="1"/>
  <c r="G133" i="1"/>
  <c r="H132" i="1"/>
  <c r="G132" i="1"/>
  <c r="H131" i="1"/>
  <c r="G131" i="1"/>
  <c r="H130" i="1"/>
  <c r="G130" i="1"/>
  <c r="H129" i="1"/>
  <c r="G129" i="1"/>
  <c r="H128" i="1"/>
  <c r="G128" i="1"/>
  <c r="H127" i="1"/>
  <c r="G127" i="1"/>
  <c r="H126" i="1"/>
  <c r="G126" i="1"/>
  <c r="H125" i="1"/>
  <c r="G125" i="1"/>
  <c r="H124" i="1"/>
  <c r="G124" i="1"/>
  <c r="H123" i="1"/>
  <c r="G123" i="1"/>
  <c r="H122" i="1"/>
  <c r="G122" i="1"/>
  <c r="H121" i="1"/>
  <c r="G121" i="1"/>
  <c r="H120" i="1"/>
  <c r="G120" i="1"/>
  <c r="H119" i="1"/>
  <c r="G119" i="1"/>
  <c r="H118" i="1"/>
  <c r="G118" i="1"/>
  <c r="H117" i="1"/>
  <c r="G117" i="1"/>
  <c r="H116" i="1"/>
  <c r="G116" i="1"/>
  <c r="H115" i="1"/>
  <c r="G115" i="1"/>
  <c r="H114" i="1"/>
  <c r="G114" i="1"/>
  <c r="H113" i="1"/>
  <c r="G113" i="1"/>
  <c r="H112" i="1"/>
  <c r="G112" i="1"/>
  <c r="H111" i="1"/>
  <c r="G111" i="1"/>
  <c r="H110" i="1"/>
  <c r="G110" i="1"/>
  <c r="H109" i="1"/>
  <c r="G109" i="1"/>
  <c r="H108" i="1"/>
  <c r="G108" i="1"/>
  <c r="H107" i="1"/>
  <c r="G107" i="1"/>
  <c r="H106" i="1"/>
  <c r="G106" i="1"/>
  <c r="H105" i="1"/>
  <c r="G105" i="1"/>
  <c r="H104" i="1"/>
  <c r="G104" i="1"/>
  <c r="H103" i="1"/>
  <c r="G103" i="1"/>
  <c r="H102" i="1"/>
  <c r="G102" i="1"/>
  <c r="H101" i="1"/>
  <c r="G101" i="1"/>
  <c r="H100" i="1"/>
  <c r="G100" i="1"/>
  <c r="H99" i="1"/>
  <c r="G99" i="1"/>
  <c r="H98" i="1"/>
  <c r="G98" i="1"/>
  <c r="H97" i="1"/>
  <c r="G97" i="1"/>
  <c r="H96" i="1"/>
  <c r="G96" i="1"/>
  <c r="H84" i="1"/>
  <c r="G84" i="1"/>
  <c r="H83" i="1"/>
  <c r="G83" i="1"/>
  <c r="H82" i="1"/>
  <c r="G82" i="1"/>
  <c r="H81" i="1"/>
  <c r="G81" i="1"/>
  <c r="H80" i="1"/>
  <c r="G80" i="1"/>
  <c r="H79" i="1"/>
  <c r="G79" i="1"/>
  <c r="H78" i="1"/>
  <c r="G78" i="1"/>
  <c r="H77" i="1"/>
  <c r="G77" i="1"/>
  <c r="H76" i="1"/>
  <c r="G76" i="1"/>
  <c r="H75" i="1"/>
  <c r="G75" i="1"/>
  <c r="H74" i="1"/>
  <c r="G74" i="1"/>
  <c r="H73" i="1"/>
  <c r="G73" i="1"/>
  <c r="H72" i="1"/>
  <c r="G72" i="1"/>
  <c r="H71" i="1"/>
  <c r="G71" i="1"/>
  <c r="H70" i="1"/>
  <c r="G70" i="1"/>
  <c r="H69" i="1"/>
  <c r="G69" i="1"/>
  <c r="H68" i="1"/>
  <c r="G68" i="1"/>
  <c r="H67" i="1"/>
  <c r="G67" i="1"/>
  <c r="H66" i="1"/>
  <c r="G66" i="1"/>
  <c r="H65" i="1"/>
  <c r="G65" i="1"/>
  <c r="H64" i="1"/>
  <c r="G64" i="1"/>
  <c r="H63" i="1"/>
  <c r="G63" i="1"/>
  <c r="H62" i="1"/>
  <c r="G62" i="1"/>
  <c r="H61" i="1"/>
  <c r="G61" i="1"/>
  <c r="H60" i="1"/>
  <c r="G60" i="1"/>
  <c r="H59" i="1"/>
  <c r="G59" i="1"/>
  <c r="H58" i="1"/>
  <c r="G58" i="1"/>
  <c r="H57" i="1"/>
  <c r="G57" i="1"/>
  <c r="H56" i="1"/>
  <c r="G56" i="1"/>
  <c r="H55" i="1"/>
  <c r="G55" i="1"/>
  <c r="H54" i="1"/>
  <c r="G54" i="1"/>
  <c r="H53" i="1"/>
  <c r="G53" i="1"/>
  <c r="H52" i="1"/>
  <c r="G52" i="1"/>
  <c r="H51" i="1"/>
  <c r="G51" i="1"/>
  <c r="H50" i="1"/>
  <c r="G50" i="1"/>
  <c r="H49" i="1"/>
  <c r="G49" i="1"/>
  <c r="H48" i="1"/>
  <c r="G48" i="1"/>
  <c r="H47" i="1"/>
  <c r="G47" i="1"/>
  <c r="H46" i="1"/>
  <c r="G46" i="1"/>
  <c r="H45" i="1"/>
  <c r="G45" i="1"/>
  <c r="H44" i="1"/>
  <c r="G44" i="1"/>
  <c r="H43" i="1"/>
  <c r="G43" i="1"/>
  <c r="H42" i="1"/>
  <c r="G42" i="1"/>
  <c r="H41" i="1"/>
  <c r="G41" i="1"/>
  <c r="H40" i="1"/>
  <c r="G40" i="1"/>
  <c r="H39" i="1"/>
  <c r="G39" i="1"/>
  <c r="H38" i="1"/>
  <c r="G38" i="1"/>
  <c r="H37" i="1"/>
  <c r="G37" i="1"/>
  <c r="H36" i="1"/>
  <c r="G36" i="1"/>
  <c r="H35" i="1"/>
  <c r="G35" i="1"/>
  <c r="H34" i="1"/>
  <c r="G34" i="1"/>
  <c r="H33" i="1"/>
  <c r="G33" i="1"/>
  <c r="H32" i="1"/>
  <c r="G32" i="1"/>
  <c r="H31" i="1"/>
  <c r="G31" i="1"/>
  <c r="H30" i="1"/>
  <c r="G30" i="1"/>
  <c r="H29" i="1"/>
  <c r="G29" i="1"/>
  <c r="H28" i="1"/>
  <c r="G28" i="1"/>
  <c r="H27" i="1"/>
  <c r="G27" i="1"/>
  <c r="H26" i="1"/>
  <c r="G26" i="1"/>
  <c r="H25" i="1"/>
  <c r="G25" i="1"/>
  <c r="H24" i="1"/>
  <c r="G24" i="1"/>
  <c r="H22" i="1"/>
  <c r="G22" i="1"/>
  <c r="H21" i="1"/>
  <c r="G21" i="1"/>
  <c r="H20" i="1"/>
  <c r="G20" i="1"/>
  <c r="H19" i="1"/>
  <c r="G19" i="1"/>
  <c r="H18" i="1"/>
  <c r="G18" i="1"/>
  <c r="H17" i="1"/>
  <c r="G17" i="1"/>
  <c r="H16" i="1"/>
  <c r="G16" i="1"/>
  <c r="H15" i="1"/>
  <c r="G15" i="1"/>
  <c r="H14" i="1"/>
  <c r="G14" i="1"/>
  <c r="H13" i="1"/>
  <c r="G13" i="1"/>
  <c r="H12" i="1"/>
  <c r="G12" i="1"/>
  <c r="H11" i="1"/>
  <c r="G11" i="1"/>
  <c r="H10" i="1"/>
  <c r="G10" i="1"/>
  <c r="H9" i="1"/>
  <c r="G9" i="1"/>
  <c r="H8" i="1"/>
  <c r="G8" i="1"/>
  <c r="H7" i="1"/>
  <c r="G7" i="1"/>
  <c r="L112" i="1"/>
  <c r="L111" i="1"/>
  <c r="L110" i="1"/>
  <c r="L109" i="1"/>
  <c r="L193" i="1"/>
  <c r="L192" i="1"/>
  <c r="L191" i="1"/>
  <c r="L190" i="1"/>
  <c r="L189" i="1"/>
  <c r="L188" i="1"/>
  <c r="L187" i="1"/>
  <c r="L186" i="1"/>
  <c r="L185" i="1"/>
  <c r="L184"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 i="1"/>
  <c r="L183" i="1"/>
  <c r="L108" i="1"/>
  <c r="L107" i="1"/>
  <c r="L106" i="1"/>
  <c r="L105" i="1"/>
  <c r="L104" i="1"/>
  <c r="L103" i="1"/>
  <c r="L102" i="1"/>
  <c r="L101" i="1"/>
  <c r="L100" i="1"/>
  <c r="L99" i="1"/>
  <c r="L98" i="1"/>
  <c r="L97" i="1"/>
  <c r="L96"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2" i="1"/>
  <c r="L21" i="1"/>
  <c r="L20" i="1"/>
  <c r="L19" i="1"/>
  <c r="L18" i="1"/>
  <c r="L17" i="1"/>
  <c r="L16" i="1"/>
  <c r="L15" i="1"/>
  <c r="L14" i="1"/>
  <c r="L13" i="1"/>
  <c r="L12" i="1"/>
  <c r="L10" i="1"/>
  <c r="L9" i="1"/>
  <c r="L8" i="1"/>
  <c r="L7" i="1"/>
</calcChain>
</file>

<file path=xl/sharedStrings.xml><?xml version="1.0" encoding="utf-8"?>
<sst xmlns="http://schemas.openxmlformats.org/spreadsheetml/2006/main" count="5573" uniqueCount="1722">
  <si>
    <t>ANALISIS DE COSTOS Y DETERMINACION DE PRECIOS DE VENTA (/i1,1/,84)</t>
  </si>
  <si>
    <t>CODIGO</t>
  </si>
  <si>
    <t>PRODUCTO</t>
  </si>
  <si>
    <t>Unidad</t>
  </si>
  <si>
    <t>Costo oper.</t>
  </si>
  <si>
    <t>venta CF</t>
  </si>
  <si>
    <t>CF</t>
  </si>
  <si>
    <t>$us/unid.</t>
  </si>
  <si>
    <t>MATERIALES COMUNES PARA EL VIDRIO TEMPLADO Y LA CARPINTERIA DE ALUMINIO</t>
  </si>
  <si>
    <t>M1</t>
  </si>
  <si>
    <t>Tubo</t>
  </si>
  <si>
    <t>M2</t>
  </si>
  <si>
    <t>M3</t>
  </si>
  <si>
    <t>Rollo</t>
  </si>
  <si>
    <t>M4</t>
  </si>
  <si>
    <t>Mt lineal</t>
  </si>
  <si>
    <t>M5</t>
  </si>
  <si>
    <t>M6</t>
  </si>
  <si>
    <t>M7</t>
  </si>
  <si>
    <t>M8</t>
  </si>
  <si>
    <t>M9</t>
  </si>
  <si>
    <t>M10</t>
  </si>
  <si>
    <t>M11</t>
  </si>
  <si>
    <t>M12</t>
  </si>
  <si>
    <t>Pza.</t>
  </si>
  <si>
    <t>M13</t>
  </si>
  <si>
    <t>M14</t>
  </si>
  <si>
    <t>M15</t>
  </si>
  <si>
    <t>M16</t>
  </si>
  <si>
    <t>PARA EL VIDRIO TEMPLADO</t>
  </si>
  <si>
    <t>V1</t>
  </si>
  <si>
    <t>Mt²</t>
  </si>
  <si>
    <t>V2</t>
  </si>
  <si>
    <t>V3</t>
  </si>
  <si>
    <t>V4</t>
  </si>
  <si>
    <t>V5</t>
  </si>
  <si>
    <t>V6</t>
  </si>
  <si>
    <t>V7</t>
  </si>
  <si>
    <t>V8</t>
  </si>
  <si>
    <t>V9</t>
  </si>
  <si>
    <t>V10</t>
  </si>
  <si>
    <t>V11</t>
  </si>
  <si>
    <t>V12</t>
  </si>
  <si>
    <t>V13</t>
  </si>
  <si>
    <t>V14</t>
  </si>
  <si>
    <t>Barra</t>
  </si>
  <si>
    <t>V15</t>
  </si>
  <si>
    <t>V16</t>
  </si>
  <si>
    <t>V17</t>
  </si>
  <si>
    <t>V18</t>
  </si>
  <si>
    <t>V19</t>
  </si>
  <si>
    <t>V20</t>
  </si>
  <si>
    <t>V21</t>
  </si>
  <si>
    <t>V22</t>
  </si>
  <si>
    <t>V23</t>
  </si>
  <si>
    <t>V24</t>
  </si>
  <si>
    <t>V25</t>
  </si>
  <si>
    <t>V26</t>
  </si>
  <si>
    <t>V27</t>
  </si>
  <si>
    <t>V28</t>
  </si>
  <si>
    <t>V29</t>
  </si>
  <si>
    <t>V30</t>
  </si>
  <si>
    <t>V31</t>
  </si>
  <si>
    <t>V32</t>
  </si>
  <si>
    <t>V33</t>
  </si>
  <si>
    <t>V34</t>
  </si>
  <si>
    <t>V35</t>
  </si>
  <si>
    <t>V36</t>
  </si>
  <si>
    <t>V37</t>
  </si>
  <si>
    <t>V38</t>
  </si>
  <si>
    <t>V39</t>
  </si>
  <si>
    <t>V40</t>
  </si>
  <si>
    <t>V41</t>
  </si>
  <si>
    <t>V42</t>
  </si>
  <si>
    <t>V43</t>
  </si>
  <si>
    <t>V44</t>
  </si>
  <si>
    <t>V45</t>
  </si>
  <si>
    <t>V46</t>
  </si>
  <si>
    <t>V47</t>
  </si>
  <si>
    <t>V48</t>
  </si>
  <si>
    <t>V49</t>
  </si>
  <si>
    <t>V50</t>
  </si>
  <si>
    <t>V51</t>
  </si>
  <si>
    <t>V52</t>
  </si>
  <si>
    <t>V53</t>
  </si>
  <si>
    <t>V54</t>
  </si>
  <si>
    <t>V55</t>
  </si>
  <si>
    <t>V56</t>
  </si>
  <si>
    <t>V57</t>
  </si>
  <si>
    <t>V58</t>
  </si>
  <si>
    <t>V59</t>
  </si>
  <si>
    <t>V60</t>
  </si>
  <si>
    <t>V61</t>
  </si>
  <si>
    <t>V62</t>
  </si>
  <si>
    <t>V63</t>
  </si>
  <si>
    <t>V64</t>
  </si>
  <si>
    <t>V65</t>
  </si>
  <si>
    <t>V66</t>
  </si>
  <si>
    <t>V67</t>
  </si>
  <si>
    <t>V68</t>
  </si>
  <si>
    <t>V69</t>
  </si>
  <si>
    <t>V70</t>
  </si>
  <si>
    <t>MATERIALES Y MATERIA PRIMA PARA LA CARPINTERIA DE ALUMINIO</t>
  </si>
  <si>
    <t>A1</t>
  </si>
  <si>
    <t>Kgr.</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</si>
  <si>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</si>
  <si>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</si>
  <si>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</si>
  <si>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</si>
  <si>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</si>
  <si>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</si>
  <si>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</si>
  <si>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</si>
  <si>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</si>
  <si>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</si>
  <si>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</si>
  <si>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</si>
  <si>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</si>
  <si>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</si>
  <si>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</si>
  <si>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</si>
  <si>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</si>
  <si>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</si>
  <si>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</si>
  <si>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</si>
  <si>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</si>
  <si>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</si>
  <si>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</si>
  <si>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</si>
  <si>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</si>
  <si>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</si>
  <si>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</si>
  <si>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</si>
  <si>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</si>
  <si>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</si>
  <si>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</si>
  <si>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</si>
  <si>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</si>
  <si>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</si>
  <si>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Par</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</si>
  <si>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</si>
  <si>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</si>
  <si>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</si>
  <si>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</si>
  <si>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</si>
  <si>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</si>
  <si>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</si>
  <si>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</si>
  <si>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</si>
  <si>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</si>
  <si>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</si>
  <si>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</si>
  <si>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</si>
  <si>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</si>
  <si>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</si>
  <si>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</si>
  <si>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</si>
  <si>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</si>
  <si>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</si>
  <si>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</si>
  <si>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</si>
  <si>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</si>
  <si>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</si>
  <si>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</si>
  <si>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</si>
  <si>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</si>
  <si>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</si>
  <si>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</si>
  <si>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</si>
  <si>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</si>
  <si>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</si>
  <si>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</si>
  <si>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Hoyo</t>
  </si>
  <si>
    <t>A68</t>
  </si>
  <si>
    <t>A69</t>
  </si>
  <si>
    <t>A70</t>
  </si>
  <si>
    <t>A71</t>
  </si>
  <si>
    <t>A72</t>
  </si>
  <si>
    <t>A73</t>
  </si>
  <si>
    <t>A74</t>
  </si>
  <si>
    <t>A75</t>
  </si>
  <si>
    <t>A76</t>
  </si>
  <si>
    <t>A77</t>
  </si>
  <si>
    <t>A78</t>
  </si>
  <si>
    <t>A79</t>
  </si>
  <si>
    <t xml:space="preserve">ALUCOBOND - WILSTRONG </t>
  </si>
  <si>
    <t>A80</t>
  </si>
  <si>
    <t>A81</t>
  </si>
  <si>
    <t>A82</t>
  </si>
  <si>
    <t>A83</t>
  </si>
  <si>
    <t>A84</t>
  </si>
  <si>
    <t>A85</t>
  </si>
  <si>
    <t>A86</t>
  </si>
  <si>
    <t>A87</t>
  </si>
  <si>
    <t>A88</t>
  </si>
  <si>
    <t>A89</t>
  </si>
  <si>
    <t>A90</t>
  </si>
  <si>
    <t>A91</t>
  </si>
  <si>
    <t>A92</t>
  </si>
  <si>
    <t>A93</t>
  </si>
  <si>
    <t>A94</t>
  </si>
  <si>
    <t>A95</t>
  </si>
  <si>
    <t>A96</t>
  </si>
  <si>
    <t>A97</t>
  </si>
  <si>
    <t>A98</t>
  </si>
  <si>
    <t>A99</t>
  </si>
  <si>
    <t>A100</t>
  </si>
  <si>
    <t>Mt. Lin.</t>
  </si>
  <si>
    <t>venta CD</t>
  </si>
  <si>
    <t>V71</t>
  </si>
  <si>
    <t>A101</t>
  </si>
  <si>
    <t>A102</t>
  </si>
  <si>
    <t>A103</t>
  </si>
  <si>
    <t>A104</t>
  </si>
  <si>
    <t>A105</t>
  </si>
  <si>
    <t>A106</t>
  </si>
  <si>
    <t>A107</t>
  </si>
  <si>
    <t>A108</t>
  </si>
  <si>
    <t>["mp1", "mp1", "materia prima basica 1", "mt. lin.", 3.45, 3.1, "observaciones"],</t>
  </si>
  <si>
    <t xml:space="preserve">MAROL 20 Bs. -   -   - </t>
  </si>
  <si>
    <t xml:space="preserve">Ribepar  -   -   - </t>
  </si>
  <si>
    <t>Alvicruz 4,1 + 15% - 0,954 Kgr./barra - 4,715 $us./barra - 4 puesto S.C.</t>
  </si>
  <si>
    <t>Alvicruz 5,9  + 15% - 1,2 Kgr./barra - 6,785 $us./barra - 5,8 puesto S.C.</t>
  </si>
  <si>
    <t xml:space="preserve">Alcoa 6,73 + 15% - 6,222 Kgr./barra - 48,155169 $us./barra - </t>
  </si>
  <si>
    <t xml:space="preserve">Alcoa 6,73 + 15% - 3,744 Kgr./barra - 28,976688 $us./barra - </t>
  </si>
  <si>
    <t>Alvicruz 27,30  + 15% - 5,688 Kgr./barra - 31,395 $us./barra - 26,80 puesto S.C.</t>
  </si>
  <si>
    <t>Alvicruz 18,4  + 15% - 4,23 Kgr./barra - 21,16 $us./barra - 18 puesto S.C.</t>
  </si>
  <si>
    <t>Alvicruz 38  + 15% - 4,716 Kgr./barra - 43,7 $us./barra - 37,50 puesto S.C.</t>
  </si>
  <si>
    <t xml:space="preserve">Indalum -   -   - </t>
  </si>
  <si>
    <t xml:space="preserve">Perbol -   -   - </t>
  </si>
  <si>
    <t xml:space="preserve">Las Lomas ( 150+5%uniones) -   -   - </t>
  </si>
  <si>
    <t>MURANO 26 + 5%desp. - cbba - 180 - 25,83 - santa puej - 209,1 - 30</t>
  </si>
  <si>
    <t>MURANO 25 + 5% desp - cbba - 175 - 25,11 - santa puej - 202,13 - 29</t>
  </si>
  <si>
    <t xml:space="preserve">Revibol - cbba -  -  - santa puej -  - </t>
  </si>
  <si>
    <t xml:space="preserve">MURANO 39 + 5% desp. - cbba -  - 38,7931034482759 - santa puej - 270 - </t>
  </si>
  <si>
    <t xml:space="preserve">MURANO 38 + 5% desp. - cbba -  - 37,3563218390805 - santa puej - 260 - </t>
  </si>
  <si>
    <t>Revibol - cbba -  -  - santa puej -  - nuevos</t>
  </si>
  <si>
    <t>Alvicruz 49,45+ 15%desp. - cbba - 11,988 - Kgr./juego - santa puej - 56,8675 - $us./barra47,45 puesto S.C.</t>
  </si>
  <si>
    <t>Alvicruz 7,25+ 15%desp. - cbba - 1,542 - Kgr./barra - santa puej - 8,625 - $us./barra7,15 puesto S.C.</t>
  </si>
  <si>
    <t>Alvicruz 4,30+ 15%desp. - cbba - 0,906 - Kgr./barra - santa puej - 5,175 - $us./barra4,20 puesto S.C.</t>
  </si>
  <si>
    <t xml:space="preserve">Florencio Rivero - cbba -  -  - santa puej -  - </t>
  </si>
  <si>
    <t xml:space="preserve">Cristembo La Paz - cbba -  -  - santa puej -  - </t>
  </si>
  <si>
    <t xml:space="preserve">Alvicruz + 0,15 transp - cbba -  - 2,4 - santa puej - puestos S.C. - </t>
  </si>
  <si>
    <t xml:space="preserve">Alvicruz + 0,15 transp - cbba -  - 3 - santa puej - puestos S.C. - </t>
  </si>
  <si>
    <t xml:space="preserve">Alvicruz + 0,15 transp - cbba -  - 1 - santa puej - puestos S.C. - </t>
  </si>
  <si>
    <t xml:space="preserve">Alvicruz + 0,15 transp - cbba -  - 7,5 - santa puej - puestos S.C. - </t>
  </si>
  <si>
    <t xml:space="preserve">Alvicruz + 0,15 transp - cbba -  - 8,5 - santa puej - puestos S.C. - </t>
  </si>
  <si>
    <t xml:space="preserve">Alvicruz + 0,15 transp - cbba -  - 6,8 - santa puej - puestos S.C. - </t>
  </si>
  <si>
    <t xml:space="preserve">Alvicruz + 0,15 transp - cbba -  - 21 - santa puej - puestos S.C. - </t>
  </si>
  <si>
    <t xml:space="preserve">Alvicruz + 0,15 transp - cbba -  - 3,5 - santa puej - puestos S.C. - </t>
  </si>
  <si>
    <t xml:space="preserve">Alvicruz + 0,15 transp - cbba -  - 0,55 - santa puej - puestos S.C. - </t>
  </si>
  <si>
    <t xml:space="preserve">Alvicruz + 0,15 transp - cbba -  - 2,2 - santa puej - puestos S.C. - </t>
  </si>
  <si>
    <t xml:space="preserve">Alvicruz + 0,15 transp - cbba -  - 1,4 - santa puej - puestos S.C. - </t>
  </si>
  <si>
    <t xml:space="preserve">Alvicruz + 0,15 transp - cbba -  - 9 - santa puej - puestos S.C. - </t>
  </si>
  <si>
    <t xml:space="preserve">Alvicruz + 0,15 transp - cbba -  - 11 - santa puej - puestos S.C. - </t>
  </si>
  <si>
    <t xml:space="preserve">Alvicruz + 0,15 transp - cbba -  - 2,8 - santa puej - puestos S.C. - </t>
  </si>
  <si>
    <t xml:space="preserve">Alvicruz + 0,15 transp - cbba -  - 5,5 - santa puej - puestos S.C. - </t>
  </si>
  <si>
    <t xml:space="preserve">Alvicruz + 0,15 transp - cbba -  - 7 - santa puej - puestos S.C. - </t>
  </si>
  <si>
    <t xml:space="preserve">Alvicruz + 0,15 transp - cbba -  - 8,8 - santa puej - puestos S.C. - </t>
  </si>
  <si>
    <t xml:space="preserve">Alvicruz + 0,15 transp - cbba -  - 20 - santa puej - puestos S.C. - </t>
  </si>
  <si>
    <t xml:space="preserve">Alvicruz + 0,15 transp - cbba -  - 5 - santa puej - puestos S.C. - </t>
  </si>
  <si>
    <t xml:space="preserve">Alvicruz + 0,15 transp - cbba -  - 4,5 - santa puej - puestos S.C. - </t>
  </si>
  <si>
    <t xml:space="preserve">Alvicruz + 0,15 transp - cbba -  - 1,8 - santa puej - puestos S.C. - </t>
  </si>
  <si>
    <t xml:space="preserve">Alvicruz + 0,15 transp - cbba -  - 18 - santa puej - puestos S.C. - </t>
  </si>
  <si>
    <t xml:space="preserve">Alvicruz + 0,15 transp - cbba -  - 9,5 - santa puej - puestos S.C. - </t>
  </si>
  <si>
    <t xml:space="preserve">Alvicruz + 0,15 transp - cbba -  - 2 - santa puej - puestos S.C. - </t>
  </si>
  <si>
    <t xml:space="preserve">Alvicruz + 0,15 transp - cbba -  - 14 - santa puej - puestos S.C. - </t>
  </si>
  <si>
    <t xml:space="preserve">Alvicruz + 0,15 transp - cbba -  - 6 - santa puej - puestos S.C. - </t>
  </si>
  <si>
    <t xml:space="preserve">Alvicruz + 0,15 transp - cbba -  - 3,2 - santa puej - puestos S.C. - </t>
  </si>
  <si>
    <t xml:space="preserve">Alvicruz + 0,15 transp - cbba -  - 6,2 - santa puej - puestos S.C. - </t>
  </si>
  <si>
    <t xml:space="preserve">Hilarion -  8 col.+dis. + 2 tec - cbba -  - 8 - santa puej - Sus/mt2 - </t>
  </si>
  <si>
    <t xml:space="preserve">ALVICRUZ - cbba -  -  - santa puej -  - </t>
  </si>
  <si>
    <t xml:space="preserve">8D La Paz - cbba -  -  - santa puej -  - </t>
  </si>
  <si>
    <t xml:space="preserve"> - cbba -  -  - santa puej -  - </t>
  </si>
  <si>
    <t xml:space="preserve">Alcoa 6,73 + 15% - cbba -  -  - santa puej -  - </t>
  </si>
  <si>
    <t xml:space="preserve">Oriental 7.68 + 15% - cbba -  -  - santa puej -  - </t>
  </si>
  <si>
    <t xml:space="preserve">Oriental 9.48 + 15% - cbba -  -  - santa puej - 9,47449823569479 - </t>
  </si>
  <si>
    <t xml:space="preserve">Oriental 10.76 + 15% - cbba -  -  - santa puej - 10,754835835113 - </t>
  </si>
  <si>
    <t xml:space="preserve">Oriental 14.30 + 15% - cbba -  -  - santa puej - 14,0837135936004 - </t>
  </si>
  <si>
    <t xml:space="preserve">Garcia 10.09 + 15% - cbba -  -  - santa puej -  - </t>
  </si>
  <si>
    <t xml:space="preserve">Oriental 11.08 + 15% - cbba -  -  - santa puej -  - </t>
  </si>
  <si>
    <t xml:space="preserve">Garcia 14.33 + 15% - cbba -  -  - santa puej -  - </t>
  </si>
  <si>
    <t xml:space="preserve">Oriental 16.65 + 15% - cbba -  -  - santa puej -  - </t>
  </si>
  <si>
    <t xml:space="preserve">Revibol - 5,55  + 15% - cbba -  -  - santa puej -  - </t>
  </si>
  <si>
    <t xml:space="preserve">Revibol - 7,16 + 15% - cbba -  -  - santa puej -  - </t>
  </si>
  <si>
    <t xml:space="preserve">Garcia 24 + 15% - cbba -  -  - santa puej -  - </t>
  </si>
  <si>
    <t xml:space="preserve">Garcia 37 + 15% - cbba -  -  - santa puej -  - </t>
  </si>
  <si>
    <t xml:space="preserve">America home center - cbba -  -  - santa puej -  - </t>
  </si>
  <si>
    <t xml:space="preserve">Indalum - cbba -  -  - santa puej -  - </t>
  </si>
  <si>
    <t xml:space="preserve">Hilarion ; 7 maestro + 3diseno - cbba -  -  - santa puej -  - </t>
  </si>
  <si>
    <t xml:space="preserve">Hilarion ; 7 maestro + 5diseno - cbba -  -  - santa puej -  - </t>
  </si>
  <si>
    <t xml:space="preserve">Hilarion  - cbba -  -  - santa puej -  - </t>
  </si>
  <si>
    <t xml:space="preserve">Hilarion 4 - cbba -  -  - santa puej -  - </t>
  </si>
  <si>
    <t xml:space="preserve">Perbol - cbba -  -  - santa puej -  - </t>
  </si>
  <si>
    <t xml:space="preserve">Ferretería - 20% - cbba -  -  - santa puej -  - </t>
  </si>
  <si>
    <t xml:space="preserve">VICOR - cbba -  -  - santa puej -  - </t>
  </si>
  <si>
    <t xml:space="preserve">Revibol - 9,15 - 8,38 - 18% - cbba -  -  - santa puej -  - </t>
  </si>
  <si>
    <t xml:space="preserve">Revibol - 10,98 - 9,89 - 18% - cbba -  -  - santa puej -  - </t>
  </si>
  <si>
    <t xml:space="preserve">Hilarion o Silverio o Octavio 7 - cbba -  -  - santa puej -  - </t>
  </si>
  <si>
    <t xml:space="preserve">Box de  bano recto - cbba -  -  - santa puej -  - </t>
  </si>
  <si>
    <t xml:space="preserve">Box de  bano curvo - cbba -  -  - santa puej -  - </t>
  </si>
  <si>
    <t xml:space="preserve">Fachada estructural pequena - cbba -  -  - santa puej -  - </t>
  </si>
  <si>
    <t xml:space="preserve">Fachada estructural alta - cbba -  -  - santa puej -  - </t>
  </si>
  <si>
    <t xml:space="preserve">Termopanel - cbba -  -  - santa puej -  - </t>
  </si>
  <si>
    <t xml:space="preserve">Tecnopor 35.50 + 20% - cbba -  -  - santa puej -  - </t>
  </si>
  <si>
    <t xml:space="preserve">CRIS LP 43 + 30% - cbba -  -  - santa puej -  - </t>
  </si>
  <si>
    <t xml:space="preserve">CRIS LP 46 + 30% - cbba -  -  - santa puej -  - </t>
  </si>
  <si>
    <t xml:space="preserve">CRIS LP 24 + 30% - cbba -  -  - santa puej -  - </t>
  </si>
  <si>
    <t xml:space="preserve">tecnopor  10 + 20% - cbba -  -  - santa puej -  - </t>
  </si>
  <si>
    <t xml:space="preserve">tecnopor  12 + 20% - cbba -  -  - santa puej -  - </t>
  </si>
  <si>
    <t xml:space="preserve">Las Lomas ( 3+25% ) - cbba -  -  - santa puej -  - </t>
  </si>
  <si>
    <t xml:space="preserve">CRIS LP 15 + 30% - cbba -  -  - santa puej -  - </t>
  </si>
  <si>
    <t xml:space="preserve">CLP 60 + 15% - cbba -  -  - santa puej -  - </t>
  </si>
  <si>
    <t xml:space="preserve">ALVICRUZ = VID + (7xPERIM.) - cbba -  -  - santa puej -  - </t>
  </si>
  <si>
    <t xml:space="preserve">ALVICRUZ    24,90 + 15% - cbba -  -  - santa puej -  - </t>
  </si>
  <si>
    <t xml:space="preserve">ALVICRUZ = 33,32 - cbba -  -  - santa puej - 5,55333333333333 - </t>
  </si>
  <si>
    <t xml:space="preserve">ALVICRUZ = 11,22 - cbba -  -  - santa puej - 1,87 - </t>
  </si>
  <si>
    <t xml:space="preserve">ALVICRUZ = 25,95 - cbba -  -  - santa puej - 4,325 - </t>
  </si>
  <si>
    <t xml:space="preserve">ALVICRUZ = 16,12 - cbba -  -  - santa puej - 2,68666666666667 - </t>
  </si>
  <si>
    <t>CD</t>
  </si>
  <si>
    <t>ORIGEN</t>
  </si>
  <si>
    <t>PROVEEDOR</t>
  </si>
  <si>
    <t>SILICONA TRANSPARENTE, BLANCA O NEGRA</t>
  </si>
  <si>
    <t>SILICONA ESTRUCTURAL</t>
  </si>
  <si>
    <t>CINTA MASKING 1/2 " (ROLLO DE 20)</t>
  </si>
  <si>
    <t>"U" 15 X 15   ( 16X16 ) - 0,159 KG/MT.</t>
  </si>
  <si>
    <t>"U" 15 X 25 - 0,20 KG/MT.</t>
  </si>
  <si>
    <t>TUBO 50 X 50 - 1,037 KG/MT.</t>
  </si>
  <si>
    <t>TUBO 40 X 40 - 0,624 KG/MT.</t>
  </si>
  <si>
    <t>TUBO 80 X 40 - 0,948 KG/MT.</t>
  </si>
  <si>
    <t>TUBO 60 X 30 - 0,705 KG/MT.</t>
  </si>
  <si>
    <t>TUBO 100 X 50 - 1,560 KG/MT.</t>
  </si>
  <si>
    <t>FELPA</t>
  </si>
  <si>
    <t>REMACHE 4 X 10</t>
  </si>
  <si>
    <t>TARUGOS NO. 6</t>
  </si>
  <si>
    <t xml:space="preserve">TORNILLOS 8 X 1 1/2 </t>
  </si>
  <si>
    <t xml:space="preserve">TORNILLOS 8 X 1/2 </t>
  </si>
  <si>
    <t xml:space="preserve">TUBO GALVANIZADO DE 4" </t>
  </si>
  <si>
    <t>VIDRIO TEMPLADO 10MM INCOLORO</t>
  </si>
  <si>
    <t>VIDRIO TEMPLADO 8MM INCOLORO</t>
  </si>
  <si>
    <t>VIDRIO TEMPLADO 6MM INCOLORO</t>
  </si>
  <si>
    <t>VIDRIO TEMPLADO 5MM INCOLORO</t>
  </si>
  <si>
    <t>VIDRIO TEMPLADO 4MM INCOLORO</t>
  </si>
  <si>
    <t>VIDRIO TEMPLADO 10MM COLOR</t>
  </si>
  <si>
    <t>VIDRIO TEMPLADO 8MM COLOR</t>
  </si>
  <si>
    <t>VIDRIO TEMPLADO 6MM COLOR</t>
  </si>
  <si>
    <t>VIDRIO TEMPLADO 5MM COLOR</t>
  </si>
  <si>
    <t>VIDRIO TEMPLADO 4MM COLOR</t>
  </si>
  <si>
    <t>VIDRIO TEMPLADO CATEDRAL 10MM INCOLORO</t>
  </si>
  <si>
    <t>VIDRIO TEMPLADO CATEDRAL 10MM COLOR</t>
  </si>
  <si>
    <t>CABEZAL, TAPA, GUIA, TAPA-GUIA 1.998 KG/MT</t>
  </si>
  <si>
    <t>VEDAPRES 001 - H DE ALUMINIO</t>
  </si>
  <si>
    <t>VEDAPRES 002 - U DE ALUMINIO</t>
  </si>
  <si>
    <t>VEDAPRES 003 - H (2,10MT/BARRA) INC.</t>
  </si>
  <si>
    <t>VEDAPRES 001 - H (2,10MT/BARRA) BCE.</t>
  </si>
  <si>
    <t>VEDAPRES 002 - UC (2,10MT/BARRA) BCE.</t>
  </si>
  <si>
    <t>VEDAPRES 003 - H (2,10MT/BARRA) BCE.</t>
  </si>
  <si>
    <t>FRENO HIDRÁULICO DORMA</t>
  </si>
  <si>
    <t>FRENO HIDRÁULICO HYH</t>
  </si>
  <si>
    <t>MANIJONES DE VIDRIO</t>
  </si>
  <si>
    <t>1003 ( CROMADO Ó BRONCE VIEJO )</t>
  </si>
  <si>
    <t>1013 ( CROMADO Ó BRONCE VIEJO )</t>
  </si>
  <si>
    <t>1038 ( CROMADO Ó BRONCE VIEJO )</t>
  </si>
  <si>
    <t>1038-C ( CROMADO Ó BRONCE VIEJO )</t>
  </si>
  <si>
    <t>1101 ( CROMADO Ó BRONCE VIEJO )</t>
  </si>
  <si>
    <t>1103 ( CROMADO Ó BRONCE VIEJO )</t>
  </si>
  <si>
    <t>1114 ( CROMADO Ó BRONCE VIEJO )</t>
  </si>
  <si>
    <t>1115 ( CROMADO Ó BRONCE VIEJO )</t>
  </si>
  <si>
    <t>1117 ( CROMADO Ó BRONCE VIEJO )</t>
  </si>
  <si>
    <t>1123 ( CROMADO Ó BRONCE VIEJO )</t>
  </si>
  <si>
    <t>1125 ( CROMADO Ó BRONCE VIEJO )</t>
  </si>
  <si>
    <t>1125-A ( CROMADO Ó BRONCE VIEJO )</t>
  </si>
  <si>
    <t>1201 ( CROMADO Ó BRONCE VIEJO )</t>
  </si>
  <si>
    <t>1203 ( CROMADO Ó BRONCE VIEJO )</t>
  </si>
  <si>
    <t>1209 ( CROMADO Ó BRONCE VIEJO )</t>
  </si>
  <si>
    <t>1230 ( CROMADO Ó BRONCE VIEJO )</t>
  </si>
  <si>
    <t>1302 ( CROMADO Ó BRONCE VIEJO )</t>
  </si>
  <si>
    <t>1306 ( CROMADO Ó BRONCE VIEJO )</t>
  </si>
  <si>
    <t>1310 ( CROMADO Ó BRONCE VIEJO )</t>
  </si>
  <si>
    <t>1316 ( CROMADO Ó BRONCE VIEJO )</t>
  </si>
  <si>
    <t>1319 ( CROMADO Ó BRONCE VIEJO )</t>
  </si>
  <si>
    <t>1329 ( CROMADO Ó BRONCE VIEJO )</t>
  </si>
  <si>
    <t>1335 ( CROMADO Ó BRONCE VIEJO )</t>
  </si>
  <si>
    <t>1335-C ( CROMADO Ó BRONCE VIEJO )</t>
  </si>
  <si>
    <t>1504 ( CROMADO Ó BRONCE VIEJO )</t>
  </si>
  <si>
    <t>1510 ( CROMADO Ó BRONCE VIEJO )</t>
  </si>
  <si>
    <t>1511 ( CROMADO Ó BRONCE VIEJO )</t>
  </si>
  <si>
    <t>1511-A ( CROMADO Ó BRONCE VIEJO )</t>
  </si>
  <si>
    <t>1520 ( CROMADO Ó BRONCE VIEJO )</t>
  </si>
  <si>
    <t>1523 ( CROMADO Ó BRONCE VIEJO )</t>
  </si>
  <si>
    <t>1531 ( CROMADO Ó BRONCE VIEJO )</t>
  </si>
  <si>
    <t>1629-J ( CROMADO Ó BRONCE VIEJO )</t>
  </si>
  <si>
    <t>1629-P ( CROMADO Ó BRONCE VIEJO )</t>
  </si>
  <si>
    <t>1636-AL ( CROMADO Ó BRONCE VIEJO )</t>
  </si>
  <si>
    <t>1800 ( CROMADO Ó BRONCE VIEJO )</t>
  </si>
  <si>
    <t>1800-C ( CROMADO Ó BRONCE VIEJO )</t>
  </si>
  <si>
    <t>MANO DE OBRA INSTALACIÒN TEMPLADO</t>
  </si>
  <si>
    <t>HERRAJE ARANA</t>
  </si>
  <si>
    <t>SOPORTE HERRAJE - TUBO</t>
  </si>
  <si>
    <t>ALUMINIO ANODIZADO BRONCE O CHAMPAGNE</t>
  </si>
  <si>
    <t>ALUMINIO ANODIZADO NATURAL</t>
  </si>
  <si>
    <t>VIDRIO INCOLORORO 3MM</t>
  </si>
  <si>
    <t>VIDRIO INCOLORORO 4MM</t>
  </si>
  <si>
    <t>VIDRIO INCOLORORO 5MM</t>
  </si>
  <si>
    <t>VIDRIO INCOLORORO 6MM</t>
  </si>
  <si>
    <t>VIDRIO COLOR 3MM</t>
  </si>
  <si>
    <t>VIDRIO COLOR 4MM</t>
  </si>
  <si>
    <t>VIDRIO COLOR 5MM</t>
  </si>
  <si>
    <t>VIDRIO COLOR 6MM</t>
  </si>
  <si>
    <t>VIDRIO CATEDRAL CLARO</t>
  </si>
  <si>
    <t>VIDRIO CATEDRAL COLOR</t>
  </si>
  <si>
    <t>VIDRIO REFLECTIVO BRONCE O GRIS 4MM</t>
  </si>
  <si>
    <t>VIDRIO REFLECTIVO BRONCE O GRIS 5MM</t>
  </si>
  <si>
    <t>VIDRIO REFLECTIVO BRONCE O GRIS 6MM</t>
  </si>
  <si>
    <t>VIDRIO REFLECTIVO AZURLITE 4MM</t>
  </si>
  <si>
    <t>VIDRIO REFLECTIVO AZURLITE 5MM</t>
  </si>
  <si>
    <t>VIDRIO REFLECTIVO AZURLITE 6MM</t>
  </si>
  <si>
    <t>CINTA DOB.CONT. 4972 - 3M 1/2"=12MM (ROLLO DE 20)</t>
  </si>
  <si>
    <t>CINTA DOB.CONT. 4972 - 3M 3/4"=19MM (ROLLO DE 20)</t>
  </si>
  <si>
    <t>CINTA DOB.CONT. 4972 - 3M 1"=25MM (ROLLO DE 20)</t>
  </si>
  <si>
    <t>BURLETE</t>
  </si>
  <si>
    <t>PATIN SERIE 25</t>
  </si>
  <si>
    <t>PATIN SERIE 20</t>
  </si>
  <si>
    <t>PATIN SERIE 50</t>
  </si>
  <si>
    <t>PATIN SERIE 4000</t>
  </si>
  <si>
    <t>PATIN SHOWER DOOR</t>
  </si>
  <si>
    <t>CIERRE SERIE 20</t>
  </si>
  <si>
    <t>CIERRE SERIE 25</t>
  </si>
  <si>
    <t>GUIA EXTERIOR SHOWER DOOR</t>
  </si>
  <si>
    <t>GUIA SERIE 50</t>
  </si>
  <si>
    <t>GUIA SERIE 20</t>
  </si>
  <si>
    <t>GUIA SERIE 25</t>
  </si>
  <si>
    <t>CELOSIAS 2 ALETAS - 320 MM.</t>
  </si>
  <si>
    <t>CELOSIAS 3 ALETAS - 460 MM.</t>
  </si>
  <si>
    <t>CELOSIAS 4 ALETAS - 600 MM.</t>
  </si>
  <si>
    <t>CELOSIAS 5 ALETAS - 740MM.</t>
  </si>
  <si>
    <t>CELOSIAS 6 ALETAS - 880 MM.</t>
  </si>
  <si>
    <t>CELOSIAS 7 ALETAS - 1000 MM.</t>
  </si>
  <si>
    <t>CELOSIAS 8 ALETAS - 1160 MM.</t>
  </si>
  <si>
    <t>CELOSIAS 9 ALETAS - 1300 MM.</t>
  </si>
  <si>
    <t>BISAGRA SERIE 32 Y 42</t>
  </si>
  <si>
    <t>BISAGRA SERIE 35</t>
  </si>
  <si>
    <t>BISAGRA SERIE 45</t>
  </si>
  <si>
    <t>BRAZO DE APERTURA P/PROYECTANTE 300</t>
  </si>
  <si>
    <t>BRAZO DE APERTURA P/PROYECTANTE 400</t>
  </si>
  <si>
    <t>BRAZO DE APERTURA P/PROYECTANTE 500</t>
  </si>
  <si>
    <t>BRAZO DE APERTURA P/PROYECTANTE 650</t>
  </si>
  <si>
    <t>BRAZO DE APERTURA P/PROYECTANTE 900</t>
  </si>
  <si>
    <t>BRAZO DE APERTURA P/PROYECTANTE 1200</t>
  </si>
  <si>
    <t>MANIJA PARA PROYECTANTE</t>
  </si>
  <si>
    <t>CHAPA P/PUERTA DE ALUMINIO</t>
  </si>
  <si>
    <t>MANO DE OBRA CARPINTERÌA DE ALUMINIO.</t>
  </si>
  <si>
    <t>MANO DE OBRA FACHADAS, TECHOS Y ESPECIALES</t>
  </si>
  <si>
    <t>MANO DE OBRA COLOCACIÓN ESPEJOS</t>
  </si>
  <si>
    <t>MANO DE OBRA FABRICACIÓN MALLERAS</t>
  </si>
  <si>
    <t>MANO DE OBRA COLOCACIÓN CRUDO</t>
  </si>
  <si>
    <t>MANO DE OBRA DIVISORES DE AMBIENTE Y CIELOS</t>
  </si>
  <si>
    <t>TESADOR PARA PUERTAS 5/16</t>
  </si>
  <si>
    <t>MALLA MILIMÉTRICA PLÁSTICA</t>
  </si>
  <si>
    <t>BISELADO HASTA 2,7 CM</t>
  </si>
  <si>
    <t>ESCUADRA DE ARMADO</t>
  </si>
  <si>
    <t>VIDRIO ESPEJO INCOLORO 3MM</t>
  </si>
  <si>
    <t>VIDRIO ESPEJO INCOLORO 4MM</t>
  </si>
  <si>
    <t>PULIDO DE VIDRIO A MÁQUINA</t>
  </si>
  <si>
    <t>PERFORACIÓN DE VIDRIO</t>
  </si>
  <si>
    <t>MANO DE OBRA CELOSÍAS</t>
  </si>
  <si>
    <t>JALADOR PARA MALLERA</t>
  </si>
  <si>
    <t>ANCLAJES DE HIERRO (PZAS.)</t>
  </si>
  <si>
    <t>PERNOS DE EXPANSIÓN (PZAS.)</t>
  </si>
  <si>
    <t>TORNILLO Y TUERCA DE 2" (PZAS.)</t>
  </si>
  <si>
    <t>MANO DE OBRA BOX DE BANO RECTO</t>
  </si>
  <si>
    <t>MANO DE OBRA BOX DE BANO CURVO</t>
  </si>
  <si>
    <t>MANO DE OBRA FACHADA ESTRUCTURAL PEQUE</t>
  </si>
  <si>
    <t>MANO DE OBRA FACHADA ESTRUCTURAL GRANDE</t>
  </si>
  <si>
    <t>MANO DE OBRA CARPINTERIA DE ALUMINIO CON TERMOPANEL</t>
  </si>
  <si>
    <t>JALADORES PAR SERIE 25</t>
  </si>
  <si>
    <t>VIDRIO LAMINADO REFLECTIVO GRIS 4+4MM</t>
  </si>
  <si>
    <t>VIDRIO LAMINADO REFLECTIVO AZUL 4+4MM</t>
  </si>
  <si>
    <t>VIDRIO LAMINADO INCOLORO 4+4MM</t>
  </si>
  <si>
    <t>PATIN SERIE 30 + RIEL SUP</t>
  </si>
  <si>
    <t>PANEL CIELO FALSO 122X61</t>
  </si>
  <si>
    <t>PANEL CIELO FALSO 61X61</t>
  </si>
  <si>
    <t>ALAMBRE GALVANIZADO</t>
  </si>
  <si>
    <t>ACRILICO</t>
  </si>
  <si>
    <t>VIDRIO LAMINADO REFLECTIVO BRONCE O GRIS 5+5 MM</t>
  </si>
  <si>
    <t>VIDRIO TERMOPANEL DVH INCOLORO 5+5MM + 7 X (2H+2B)</t>
  </si>
  <si>
    <t>VIDRIO LAMINADO INCOLORO 3+3 MM</t>
  </si>
  <si>
    <t>VIDRIO TERMOPANEL DVH INCOLORO 5+6(3+3)MM + 7 X (2H+2B)</t>
  </si>
  <si>
    <t>ALUMINIO  6001</t>
  </si>
  <si>
    <t>ALUMINIO  6002</t>
  </si>
  <si>
    <t>ALUMINIO  6004</t>
  </si>
  <si>
    <t>ALUMINIO  6005</t>
  </si>
  <si>
    <t>JALADORES PAR</t>
  </si>
  <si>
    <t>RODAMIENTO SERIE 60 ALVI</t>
  </si>
  <si>
    <t>MANIJA + KIT BIPUNTO SERIE 60 ALVI</t>
  </si>
  <si>
    <t xml:space="preserve"> </t>
  </si>
  <si>
    <t>Precio10 de</t>
  </si>
  <si>
    <t>Precio15 de</t>
  </si>
  <si>
    <t>2.9</t>
  </si>
  <si>
    <t>3.31</t>
  </si>
  <si>
    <t>3.19</t>
  </si>
  <si>
    <t>3.46</t>
  </si>
  <si>
    <t>4.35</t>
  </si>
  <si>
    <t>6.24</t>
  </si>
  <si>
    <t>7.11</t>
  </si>
  <si>
    <t>6.59</t>
  </si>
  <si>
    <t>7.44</t>
  </si>
  <si>
    <t>0.65</t>
  </si>
  <si>
    <t>0.75</t>
  </si>
  <si>
    <t>0.72</t>
  </si>
  <si>
    <t>0.78</t>
  </si>
  <si>
    <t>0.9</t>
  </si>
  <si>
    <t>0.87</t>
  </si>
  <si>
    <t>1.29</t>
  </si>
  <si>
    <t>1.25</t>
  </si>
  <si>
    <t>1.7</t>
  </si>
  <si>
    <t>9.15</t>
  </si>
  <si>
    <t>8.48</t>
  </si>
  <si>
    <t>5.51</t>
  </si>
  <si>
    <t>5.1</t>
  </si>
  <si>
    <t>5.76</t>
  </si>
  <si>
    <t>5.97</t>
  </si>
  <si>
    <t>4.02</t>
  </si>
  <si>
    <t>3.88</t>
  </si>
  <si>
    <t>4.21</t>
  </si>
  <si>
    <t>8.3</t>
  </si>
  <si>
    <t>8.02</t>
  </si>
  <si>
    <t>0.15</t>
  </si>
  <si>
    <t>0.18</t>
  </si>
  <si>
    <t>0.17</t>
  </si>
  <si>
    <t>0.03</t>
  </si>
  <si>
    <t>0.04</t>
  </si>
  <si>
    <t>0.02</t>
  </si>
  <si>
    <t>26.25</t>
  </si>
  <si>
    <t>25.2</t>
  </si>
  <si>
    <t>29.91</t>
  </si>
  <si>
    <t>27.72</t>
  </si>
  <si>
    <t>31.27</t>
  </si>
  <si>
    <t>31.5</t>
  </si>
  <si>
    <t>35.89</t>
  </si>
  <si>
    <t>34.65</t>
  </si>
  <si>
    <t>37.52</t>
  </si>
  <si>
    <t>30.45</t>
  </si>
  <si>
    <t>34.7</t>
  </si>
  <si>
    <t>33.5</t>
  </si>
  <si>
    <t>36.27</t>
  </si>
  <si>
    <t>29.63</t>
  </si>
  <si>
    <t>27.5</t>
  </si>
  <si>
    <t>30.97</t>
  </si>
  <si>
    <t>27.35</t>
  </si>
  <si>
    <t>26.4</t>
  </si>
  <si>
    <t>28.59</t>
  </si>
  <si>
    <t>23.93</t>
  </si>
  <si>
    <t>23.1</t>
  </si>
  <si>
    <t>25.02</t>
  </si>
  <si>
    <t>40.95</t>
  </si>
  <si>
    <t>46.66</t>
  </si>
  <si>
    <t>45.05</t>
  </si>
  <si>
    <t>48.78</t>
  </si>
  <si>
    <t>39.9</t>
  </si>
  <si>
    <t>45.46</t>
  </si>
  <si>
    <t>43.89</t>
  </si>
  <si>
    <t>47.53</t>
  </si>
  <si>
    <t>47.85</t>
  </si>
  <si>
    <t>50.03</t>
  </si>
  <si>
    <t>45.58</t>
  </si>
  <si>
    <t>41.8</t>
  </si>
  <si>
    <t>47.65</t>
  </si>
  <si>
    <t>43.3</t>
  </si>
  <si>
    <t>39.6</t>
  </si>
  <si>
    <t>45.27</t>
  </si>
  <si>
    <t>50.13</t>
  </si>
  <si>
    <t>48.4</t>
  </si>
  <si>
    <t>52.41</t>
  </si>
  <si>
    <t>50.6</t>
  </si>
  <si>
    <t>54.79</t>
  </si>
  <si>
    <t>10.8</t>
  </si>
  <si>
    <t>10.43</t>
  </si>
  <si>
    <t>9.83</t>
  </si>
  <si>
    <t>9.49</t>
  </si>
  <si>
    <t>10.28</t>
  </si>
  <si>
    <t>5.9</t>
  </si>
  <si>
    <t>5.7</t>
  </si>
  <si>
    <t>6.17</t>
  </si>
  <si>
    <t>5.25</t>
  </si>
  <si>
    <t>5.99</t>
  </si>
  <si>
    <t>5.5</t>
  </si>
  <si>
    <t>6.26</t>
  </si>
  <si>
    <t>89.25</t>
  </si>
  <si>
    <t>101.69</t>
  </si>
  <si>
    <t>93.5</t>
  </si>
  <si>
    <t>106.31</t>
  </si>
  <si>
    <t>79.75</t>
  </si>
  <si>
    <t>83.38</t>
  </si>
  <si>
    <t>3.42</t>
  </si>
  <si>
    <t>3.3</t>
  </si>
  <si>
    <t>3.58</t>
  </si>
  <si>
    <t>2.55</t>
  </si>
  <si>
    <t>2.91</t>
  </si>
  <si>
    <t>2.81</t>
  </si>
  <si>
    <t>3.04</t>
  </si>
  <si>
    <t>3.15</t>
  </si>
  <si>
    <t>3.59</t>
  </si>
  <si>
    <t>3.47</t>
  </si>
  <si>
    <t>3.76</t>
  </si>
  <si>
    <t>1.15</t>
  </si>
  <si>
    <t>1.32</t>
  </si>
  <si>
    <t>1.27</t>
  </si>
  <si>
    <t>1.37</t>
  </si>
  <si>
    <t>1.73</t>
  </si>
  <si>
    <t>7.65</t>
  </si>
  <si>
    <t>8.72</t>
  </si>
  <si>
    <t>8.42</t>
  </si>
  <si>
    <t>9.12</t>
  </si>
  <si>
    <t>8.65</t>
  </si>
  <si>
    <t>9.86</t>
  </si>
  <si>
    <t>9.52</t>
  </si>
  <si>
    <t>10.31</t>
  </si>
  <si>
    <t>6.95</t>
  </si>
  <si>
    <t>7.92</t>
  </si>
  <si>
    <t>8.28</t>
  </si>
  <si>
    <t>21.15</t>
  </si>
  <si>
    <t>24.1</t>
  </si>
  <si>
    <t>23.27</t>
  </si>
  <si>
    <t>3.65</t>
  </si>
  <si>
    <t>4.16</t>
  </si>
  <si>
    <t>5.48</t>
  </si>
  <si>
    <t>0.7</t>
  </si>
  <si>
    <t>0.8</t>
  </si>
  <si>
    <t>0.77</t>
  </si>
  <si>
    <t>0.84</t>
  </si>
  <si>
    <t>2.35</t>
  </si>
  <si>
    <t>2.68</t>
  </si>
  <si>
    <t>2.59</t>
  </si>
  <si>
    <t>2.8</t>
  </si>
  <si>
    <t>3.53</t>
  </si>
  <si>
    <t>1.55</t>
  </si>
  <si>
    <t>1.77</t>
  </si>
  <si>
    <t>1.71</t>
  </si>
  <si>
    <t>1.85</t>
  </si>
  <si>
    <t>2.33</t>
  </si>
  <si>
    <t>10.07</t>
  </si>
  <si>
    <t>10.9</t>
  </si>
  <si>
    <t>11.15</t>
  </si>
  <si>
    <t>12.71</t>
  </si>
  <si>
    <t>12.27</t>
  </si>
  <si>
    <t>13.29</t>
  </si>
  <si>
    <t>2.95</t>
  </si>
  <si>
    <t>3.37</t>
  </si>
  <si>
    <t>3.25</t>
  </si>
  <si>
    <t>3.52</t>
  </si>
  <si>
    <t>5.65</t>
  </si>
  <si>
    <t>6.44</t>
  </si>
  <si>
    <t>6.22</t>
  </si>
  <si>
    <t>6.73</t>
  </si>
  <si>
    <t>7.15</t>
  </si>
  <si>
    <t>8.15</t>
  </si>
  <si>
    <t>7.87</t>
  </si>
  <si>
    <t>8.52</t>
  </si>
  <si>
    <t>8.95</t>
  </si>
  <si>
    <t>10.2</t>
  </si>
  <si>
    <t>9.85</t>
  </si>
  <si>
    <t>10.67</t>
  </si>
  <si>
    <t>13.43</t>
  </si>
  <si>
    <t>20.15</t>
  </si>
  <si>
    <t>22.96</t>
  </si>
  <si>
    <t>22.17</t>
  </si>
  <si>
    <t>24.01</t>
  </si>
  <si>
    <t>5.15</t>
  </si>
  <si>
    <t>5.87</t>
  </si>
  <si>
    <t>5.67</t>
  </si>
  <si>
    <t>6.14</t>
  </si>
  <si>
    <t>4.65</t>
  </si>
  <si>
    <t>5.3</t>
  </si>
  <si>
    <t>5.12</t>
  </si>
  <si>
    <t>5.54</t>
  </si>
  <si>
    <t>1.95</t>
  </si>
  <si>
    <t>2.23</t>
  </si>
  <si>
    <t>2.15</t>
  </si>
  <si>
    <t>18.15</t>
  </si>
  <si>
    <t>20.68</t>
  </si>
  <si>
    <t>19.97</t>
  </si>
  <si>
    <t>21.62</t>
  </si>
  <si>
    <t>27.23</t>
  </si>
  <si>
    <t>9.65</t>
  </si>
  <si>
    <t>10.62</t>
  </si>
  <si>
    <t>11.5</t>
  </si>
  <si>
    <t>2.45</t>
  </si>
  <si>
    <t>2.37</t>
  </si>
  <si>
    <t>2.57</t>
  </si>
  <si>
    <t>14.15</t>
  </si>
  <si>
    <t>16.13</t>
  </si>
  <si>
    <t>15.57</t>
  </si>
  <si>
    <t>16.86</t>
  </si>
  <si>
    <t>6.15</t>
  </si>
  <si>
    <t>7.01</t>
  </si>
  <si>
    <t>6.77</t>
  </si>
  <si>
    <t>7.33</t>
  </si>
  <si>
    <t>3.35</t>
  </si>
  <si>
    <t>3.82</t>
  </si>
  <si>
    <t>3.69</t>
  </si>
  <si>
    <t>6.35</t>
  </si>
  <si>
    <t>7.24</t>
  </si>
  <si>
    <t>6.99</t>
  </si>
  <si>
    <t>7.57</t>
  </si>
  <si>
    <t>11.4</t>
  </si>
  <si>
    <t>11.92</t>
  </si>
  <si>
    <t>68.36</t>
  </si>
  <si>
    <t>71.47</t>
  </si>
  <si>
    <t>19.2</t>
  </si>
  <si>
    <t>22.79</t>
  </si>
  <si>
    <t>21.12</t>
  </si>
  <si>
    <t>23.83</t>
  </si>
  <si>
    <t>8.82</t>
  </si>
  <si>
    <t>8.18</t>
  </si>
  <si>
    <t>9.22</t>
  </si>
  <si>
    <t>9.72</t>
  </si>
  <si>
    <t>12.43</t>
  </si>
  <si>
    <t>14.1</t>
  </si>
  <si>
    <t>13.62</t>
  </si>
  <si>
    <t>18.74</t>
  </si>
  <si>
    <t>18.09</t>
  </si>
  <si>
    <t>13.22</t>
  </si>
  <si>
    <t>12.77</t>
  </si>
  <si>
    <t>13.83</t>
  </si>
  <si>
    <t>14.52</t>
  </si>
  <si>
    <t>14.02</t>
  </si>
  <si>
    <t>18.78</t>
  </si>
  <si>
    <t>18.13</t>
  </si>
  <si>
    <t>19.63</t>
  </si>
  <si>
    <t>24.72</t>
  </si>
  <si>
    <t>21.82</t>
  </si>
  <si>
    <t>21.07</t>
  </si>
  <si>
    <t>22.81</t>
  </si>
  <si>
    <t>7.21</t>
  </si>
  <si>
    <t>6.68</t>
  </si>
  <si>
    <t>7.54</t>
  </si>
  <si>
    <t>9.39</t>
  </si>
  <si>
    <t>8.7</t>
  </si>
  <si>
    <t>27.6</t>
  </si>
  <si>
    <t>31.45</t>
  </si>
  <si>
    <t>29.15</t>
  </si>
  <si>
    <t>32.88</t>
  </si>
  <si>
    <t>38.74</t>
  </si>
  <si>
    <t>36.3</t>
  </si>
  <si>
    <t>40.5</t>
  </si>
  <si>
    <t>49.5</t>
  </si>
  <si>
    <t>42.16</t>
  </si>
  <si>
    <t>44.07</t>
  </si>
  <si>
    <t>44.44</t>
  </si>
  <si>
    <t>46.46</t>
  </si>
  <si>
    <t>42.55</t>
  </si>
  <si>
    <t>48.48</t>
  </si>
  <si>
    <t>44.94</t>
  </si>
  <si>
    <t>50.69</t>
  </si>
  <si>
    <t>26.2</t>
  </si>
  <si>
    <t>24.89</t>
  </si>
  <si>
    <t>29.85</t>
  </si>
  <si>
    <t>27.38</t>
  </si>
  <si>
    <t>31.21</t>
  </si>
  <si>
    <t>61.75</t>
  </si>
  <si>
    <t>74.06</t>
  </si>
  <si>
    <t>67.93</t>
  </si>
  <si>
    <t>77.42</t>
  </si>
  <si>
    <t>0.12</t>
  </si>
  <si>
    <t>0.14</t>
  </si>
  <si>
    <t>0.3</t>
  </si>
  <si>
    <t>0.35</t>
  </si>
  <si>
    <t>0.33</t>
  </si>
  <si>
    <t>0.36</t>
  </si>
  <si>
    <t>1.2</t>
  </si>
  <si>
    <t>1.43</t>
  </si>
  <si>
    <t>1.8</t>
  </si>
  <si>
    <t>0.5</t>
  </si>
  <si>
    <t>0.57</t>
  </si>
  <si>
    <t>0.55</t>
  </si>
  <si>
    <t>0.6</t>
  </si>
  <si>
    <t>0.4</t>
  </si>
  <si>
    <t>0.46</t>
  </si>
  <si>
    <t>0.44</t>
  </si>
  <si>
    <t>0.48</t>
  </si>
  <si>
    <t>1.6</t>
  </si>
  <si>
    <t>1.83</t>
  </si>
  <si>
    <t>1.76</t>
  </si>
  <si>
    <t>1.91</t>
  </si>
  <si>
    <t>0.1</t>
  </si>
  <si>
    <t>0.11</t>
  </si>
  <si>
    <t>13.39</t>
  </si>
  <si>
    <t>15.26</t>
  </si>
  <si>
    <t>14.3</t>
  </si>
  <si>
    <t>15.95</t>
  </si>
  <si>
    <t>19.5</t>
  </si>
  <si>
    <t>17.51</t>
  </si>
  <si>
    <t>19.95</t>
  </si>
  <si>
    <t>18.7</t>
  </si>
  <si>
    <t>20.86</t>
  </si>
  <si>
    <t>19.57</t>
  </si>
  <si>
    <t>22.3</t>
  </si>
  <si>
    <t>20.9</t>
  </si>
  <si>
    <t>23.31</t>
  </si>
  <si>
    <t>28.17</t>
  </si>
  <si>
    <t>29.45</t>
  </si>
  <si>
    <t>26.78</t>
  </si>
  <si>
    <t>30.52</t>
  </si>
  <si>
    <t>28.6</t>
  </si>
  <si>
    <t>31.9</t>
  </si>
  <si>
    <t>33.99</t>
  </si>
  <si>
    <t>38.73</t>
  </si>
  <si>
    <t>40.49</t>
  </si>
  <si>
    <t>38.11</t>
  </si>
  <si>
    <t>43.42</t>
  </si>
  <si>
    <t>40.7</t>
  </si>
  <si>
    <t>45.4</t>
  </si>
  <si>
    <t>46.35</t>
  </si>
  <si>
    <t>52.81</t>
  </si>
  <si>
    <t>55.21</t>
  </si>
  <si>
    <t>2.06</t>
  </si>
  <si>
    <t>1.98</t>
  </si>
  <si>
    <t>1.5</t>
  </si>
  <si>
    <t>1.65</t>
  </si>
  <si>
    <t>1.79</t>
  </si>
  <si>
    <t>2.25</t>
  </si>
  <si>
    <t>2.5</t>
  </si>
  <si>
    <t>2.85</t>
  </si>
  <si>
    <t>2.75</t>
  </si>
  <si>
    <t>2.98</t>
  </si>
  <si>
    <t>3.75</t>
  </si>
  <si>
    <t>9.8</t>
  </si>
  <si>
    <t>11.17</t>
  </si>
  <si>
    <t>10.78</t>
  </si>
  <si>
    <t>11.68</t>
  </si>
  <si>
    <t>15.05</t>
  </si>
  <si>
    <t>17.15</t>
  </si>
  <si>
    <t>16.56</t>
  </si>
  <si>
    <t>17.93</t>
  </si>
  <si>
    <t>18.5</t>
  </si>
  <si>
    <t>21.08</t>
  </si>
  <si>
    <t>20.35</t>
  </si>
  <si>
    <t>22.04</t>
  </si>
  <si>
    <t>22.14</t>
  </si>
  <si>
    <t>25.23</t>
  </si>
  <si>
    <t>24.36</t>
  </si>
  <si>
    <t>26.38</t>
  </si>
  <si>
    <t>27.42</t>
  </si>
  <si>
    <t>31.24</t>
  </si>
  <si>
    <t>30.17</t>
  </si>
  <si>
    <t>32.66</t>
  </si>
  <si>
    <t>39.58</t>
  </si>
  <si>
    <t>45.1</t>
  </si>
  <si>
    <t>43.54</t>
  </si>
  <si>
    <t>47.15</t>
  </si>
  <si>
    <t>3.63</t>
  </si>
  <si>
    <t>4.56</t>
  </si>
  <si>
    <t>21.2</t>
  </si>
  <si>
    <t>24.16</t>
  </si>
  <si>
    <t>25.26</t>
  </si>
  <si>
    <t>12.72</t>
  </si>
  <si>
    <t>14.5</t>
  </si>
  <si>
    <t>15.16</t>
  </si>
  <si>
    <t>13.2</t>
  </si>
  <si>
    <t>6.36</t>
  </si>
  <si>
    <t>7.25</t>
  </si>
  <si>
    <t>6.6</t>
  </si>
  <si>
    <t>7.58</t>
  </si>
  <si>
    <t>4.4</t>
  </si>
  <si>
    <t>4.77</t>
  </si>
  <si>
    <t>3.2</t>
  </si>
  <si>
    <t>12.31</t>
  </si>
  <si>
    <t>10.69</t>
  </si>
  <si>
    <t>14.77</t>
  </si>
  <si>
    <t>12.83</t>
  </si>
  <si>
    <t>15.44</t>
  </si>
  <si>
    <t>1.94</t>
  </si>
  <si>
    <t>1.87</t>
  </si>
  <si>
    <t>2.03</t>
  </si>
  <si>
    <t>5.6</t>
  </si>
  <si>
    <t>6.38</t>
  </si>
  <si>
    <t>6.16</t>
  </si>
  <si>
    <t>6.67</t>
  </si>
  <si>
    <t>9.54</t>
  </si>
  <si>
    <t>10.87</t>
  </si>
  <si>
    <t>9.9</t>
  </si>
  <si>
    <t>11.37</t>
  </si>
  <si>
    <t>2.28</t>
  </si>
  <si>
    <t>2.39</t>
  </si>
  <si>
    <t>13.68</t>
  </si>
  <si>
    <t>1.14</t>
  </si>
  <si>
    <t>1.1</t>
  </si>
  <si>
    <t>31.8</t>
  </si>
  <si>
    <t>36.23</t>
  </si>
  <si>
    <t>37.88</t>
  </si>
  <si>
    <t>15.9</t>
  </si>
  <si>
    <t>18.12</t>
  </si>
  <si>
    <t>16.5</t>
  </si>
  <si>
    <t>18.94</t>
  </si>
  <si>
    <t>14.84</t>
  </si>
  <si>
    <t>16.91</t>
  </si>
  <si>
    <t>15.4</t>
  </si>
  <si>
    <t>17.68</t>
  </si>
  <si>
    <t>7.42</t>
  </si>
  <si>
    <t>8.46</t>
  </si>
  <si>
    <t>7.7</t>
  </si>
  <si>
    <t>8.84</t>
  </si>
  <si>
    <t>42.6</t>
  </si>
  <si>
    <t>48.54</t>
  </si>
  <si>
    <t>46.86</t>
  </si>
  <si>
    <t>50.74</t>
  </si>
  <si>
    <t>55.9</t>
  </si>
  <si>
    <t>63.69</t>
  </si>
  <si>
    <t>61.49</t>
  </si>
  <si>
    <t>66.59</t>
  </si>
  <si>
    <t>59.8</t>
  </si>
  <si>
    <t>68.13</t>
  </si>
  <si>
    <t>65.78</t>
  </si>
  <si>
    <t>71.23</t>
  </si>
  <si>
    <t>31.2</t>
  </si>
  <si>
    <t>35.55</t>
  </si>
  <si>
    <t>34.32</t>
  </si>
  <si>
    <t>37.17</t>
  </si>
  <si>
    <t>14.4</t>
  </si>
  <si>
    <t>16.41</t>
  </si>
  <si>
    <t>15.84</t>
  </si>
  <si>
    <t>17.16</t>
  </si>
  <si>
    <t>4.28</t>
  </si>
  <si>
    <t>4.13</t>
  </si>
  <si>
    <t>4.47</t>
  </si>
  <si>
    <t>22.22</t>
  </si>
  <si>
    <t>21.45</t>
  </si>
  <si>
    <t>23.23</t>
  </si>
  <si>
    <t>78.62</t>
  </si>
  <si>
    <t>75.9</t>
  </si>
  <si>
    <t>82.19</t>
  </si>
  <si>
    <t>28.2</t>
  </si>
  <si>
    <t>29.48</t>
  </si>
  <si>
    <t>32.63</t>
  </si>
  <si>
    <t>46.73</t>
  </si>
  <si>
    <t>45.11</t>
  </si>
  <si>
    <t>48.85</t>
  </si>
  <si>
    <t>7.28</t>
  </si>
  <si>
    <t>7.03</t>
  </si>
  <si>
    <t>2.46</t>
  </si>
  <si>
    <t>5.93</t>
  </si>
  <si>
    <t>3.4</t>
  </si>
  <si>
    <t>4.64</t>
  </si>
  <si>
    <t>18.23</t>
  </si>
  <si>
    <t>19.06</t>
  </si>
  <si>
    <t>6.27</t>
  </si>
  <si>
    <t>6.05</t>
  </si>
  <si>
    <t>6.56</t>
  </si>
  <si>
    <t>39.88</t>
  </si>
  <si>
    <t>38.5</t>
  </si>
  <si>
    <t>41.69</t>
  </si>
  <si>
    <t>0.79</t>
  </si>
  <si>
    <t>8.03</t>
  </si>
  <si>
    <t>7.71</t>
  </si>
  <si>
    <t>4.83</t>
  </si>
  <si>
    <t>5.24</t>
  </si>
  <si>
    <t>7.29</t>
  </si>
  <si>
    <t>9.48</t>
  </si>
  <si>
    <t>8.63</t>
  </si>
  <si>
    <t>5.18</t>
  </si>
  <si>
    <t>7.74</t>
  </si>
  <si>
    <t>7.43</t>
  </si>
  <si>
    <t>10.91</t>
  </si>
  <si>
    <t>12.38</t>
  </si>
  <si>
    <t>16.45</t>
  </si>
  <si>
    <t>11.61</t>
  </si>
  <si>
    <t>12.75</t>
  </si>
  <si>
    <t>16.48</t>
  </si>
  <si>
    <t>19.15</t>
  </si>
  <si>
    <t>6.33</t>
  </si>
  <si>
    <t>6.08</t>
  </si>
  <si>
    <t>8.24</t>
  </si>
  <si>
    <t>7.91</t>
  </si>
  <si>
    <t>26.5</t>
  </si>
  <si>
    <t>40.85</t>
  </si>
  <si>
    <t>2.86</t>
  </si>
  <si>
    <t>12.96</t>
  </si>
  <si>
    <t>11.67</t>
  </si>
  <si>
    <t>24.75</t>
  </si>
  <si>
    <t>28.64</t>
  </si>
  <si>
    <t>41.01</t>
  </si>
  <si>
    <t>6.39</t>
  </si>
  <si>
    <t>2.16</t>
  </si>
  <si>
    <t>4.98</t>
  </si>
  <si>
    <t>3.09</t>
  </si>
  <si>
    <t>3.34</t>
  </si>
  <si>
    <t>6.9</t>
  </si>
  <si>
    <t>0.95</t>
  </si>
  <si>
    <t>0.91</t>
  </si>
  <si>
    <t>1.36</t>
  </si>
  <si>
    <t>9.57</t>
  </si>
  <si>
    <t>8.87</t>
  </si>
  <si>
    <t>5.34</t>
  </si>
  <si>
    <t>6.25</t>
  </si>
  <si>
    <t>6.03</t>
  </si>
  <si>
    <t>4.06</t>
  </si>
  <si>
    <t>8.69</t>
  </si>
  <si>
    <t>8.39</t>
  </si>
  <si>
    <t>28.98</t>
  </si>
  <si>
    <t>35.02</t>
  </si>
  <si>
    <t>28.75</t>
  </si>
  <si>
    <t>24.15</t>
  </si>
  <si>
    <t>47.1</t>
  </si>
  <si>
    <t>45.89</t>
  </si>
  <si>
    <t>43.7</t>
  </si>
  <si>
    <t>41.4</t>
  </si>
  <si>
    <t>52.9</t>
  </si>
  <si>
    <t>11.3</t>
  </si>
  <si>
    <t>9.93</t>
  </si>
  <si>
    <t>5.96</t>
  </si>
  <si>
    <t>5.75</t>
  </si>
  <si>
    <t>97.75</t>
  </si>
  <si>
    <t>80.5</t>
  </si>
  <si>
    <t>3.45</t>
  </si>
  <si>
    <t>2.94</t>
  </si>
  <si>
    <t>1.33</t>
  </si>
  <si>
    <t>8.8</t>
  </si>
  <si>
    <t>9.95</t>
  </si>
  <si>
    <t>24.33</t>
  </si>
  <si>
    <t>4.2</t>
  </si>
  <si>
    <t>0.81</t>
  </si>
  <si>
    <t>2.71</t>
  </si>
  <si>
    <t>10.53</t>
  </si>
  <si>
    <t>6.5</t>
  </si>
  <si>
    <t>8.23</t>
  </si>
  <si>
    <t>10.3</t>
  </si>
  <si>
    <t>23.18</t>
  </si>
  <si>
    <t>5.35</t>
  </si>
  <si>
    <t>20.88</t>
  </si>
  <si>
    <t>11.1</t>
  </si>
  <si>
    <t>2.48</t>
  </si>
  <si>
    <t>16.28</t>
  </si>
  <si>
    <t>7.08</t>
  </si>
  <si>
    <t>3.86</t>
  </si>
  <si>
    <t>7.31</t>
  </si>
  <si>
    <t>22.08</t>
  </si>
  <si>
    <t>8.55</t>
  </si>
  <si>
    <t>10.17</t>
  </si>
  <si>
    <t>12.55</t>
  </si>
  <si>
    <t>14.75</t>
  </si>
  <si>
    <t>14.24</t>
  </si>
  <si>
    <t>19.6</t>
  </si>
  <si>
    <t>18.92</t>
  </si>
  <si>
    <t>13.36</t>
  </si>
  <si>
    <t>15.19</t>
  </si>
  <si>
    <t>14.67</t>
  </si>
  <si>
    <t>18.96</t>
  </si>
  <si>
    <t>22.03</t>
  </si>
  <si>
    <t>9.82</t>
  </si>
  <si>
    <t>9.1</t>
  </si>
  <si>
    <t>30.48</t>
  </si>
  <si>
    <t>37.95</t>
  </si>
  <si>
    <t>46.98</t>
  </si>
  <si>
    <t>28.63</t>
  </si>
  <si>
    <t>71.02</t>
  </si>
  <si>
    <t>1.38</t>
  </si>
  <si>
    <t>0.58</t>
  </si>
  <si>
    <t>1.84</t>
  </si>
  <si>
    <t>14.95</t>
  </si>
  <si>
    <t>19.55</t>
  </si>
  <si>
    <t>21.85</t>
  </si>
  <si>
    <t>29.9</t>
  </si>
  <si>
    <t>51.75</t>
  </si>
  <si>
    <t>2.07</t>
  </si>
  <si>
    <t>2.88</t>
  </si>
  <si>
    <t>11.27</t>
  </si>
  <si>
    <t>17.31</t>
  </si>
  <si>
    <t>21.28</t>
  </si>
  <si>
    <t>25.47</t>
  </si>
  <si>
    <t>31.54</t>
  </si>
  <si>
    <t>45.52</t>
  </si>
  <si>
    <t>3.5</t>
  </si>
  <si>
    <t>13.8</t>
  </si>
  <si>
    <t>4.6</t>
  </si>
  <si>
    <t>3.29</t>
  </si>
  <si>
    <t>12.87</t>
  </si>
  <si>
    <t>11.18</t>
  </si>
  <si>
    <t>1.96</t>
  </si>
  <si>
    <t>10.35</t>
  </si>
  <si>
    <t>34.5</t>
  </si>
  <si>
    <t>17.25</t>
  </si>
  <si>
    <t>16.1</t>
  </si>
  <si>
    <t>8.05</t>
  </si>
  <si>
    <t>48.99</t>
  </si>
  <si>
    <t>64.29</t>
  </si>
  <si>
    <t>68.77</t>
  </si>
  <si>
    <t>35.88</t>
  </si>
  <si>
    <t>4.32</t>
  </si>
  <si>
    <t>22.43</t>
  </si>
  <si>
    <t>79.35</t>
  </si>
  <si>
    <t>28.47</t>
  </si>
  <si>
    <t>34.12</t>
  </si>
  <si>
    <t>32.94</t>
  </si>
  <si>
    <t>47.17</t>
  </si>
  <si>
    <t>7.62</t>
  </si>
  <si>
    <t>7.35</t>
  </si>
  <si>
    <t>2.58</t>
  </si>
  <si>
    <t>2.49</t>
  </si>
  <si>
    <t>5.94</t>
  </si>
  <si>
    <t>5.73</t>
  </si>
  <si>
    <t>3.56</t>
  </si>
  <si>
    <t>40.25</t>
  </si>
  <si>
    <t>acumulado</t>
  </si>
  <si>
    <t>["M1", "M1", "SILICONA TRANSPARENTE, BLANCA O NEGRA", 0, "Tubo"],</t>
  </si>
  <si>
    <t>["M2", "M2", "SILICONA ESTRUCTURAL", 0, "Tubo"],</t>
  </si>
  <si>
    <t>["M3", "M3", "CINTA MASKING 1/2 " (ROLLO DE 20)", 0, "Rollo"],</t>
  </si>
  <si>
    <t>["M4", "M4", ""U" 15 X 15   ( 16X16 ) - 0,159 KG/MT.", 0, "Mt lineal"],</t>
  </si>
  <si>
    <t>["M5", "M5", ""U" 15 X 25 - 0,20 KG/MT.", 0, "Mt lineal"],</t>
  </si>
  <si>
    <t>["M6", "M6", "TUBO 50 X 50 - 1,037 KG/MT.", 0, "Mt lineal"],</t>
  </si>
  <si>
    <t>["M7", "M7", "TUBO 40 X 40 - 0,624 KG/MT.", 0, "Mt lineal"],</t>
  </si>
  <si>
    <t>["M8", "M8", "TUBO 80 X 40 - 0,948 KG/MT.", 0, "Mt lineal"],</t>
  </si>
  <si>
    <t>["M9", "M9", "TUBO 60 X 30 - 0,705 KG/MT.", 0, "Mt lineal"],</t>
  </si>
  <si>
    <t>["M10", "M10", "TUBO 100 X 50 - 1,560 KG/MT.", 0, "Mt lineal"],</t>
  </si>
  <si>
    <t>["M11", "M11", "FELPA", 0, "Mt lineal"],</t>
  </si>
  <si>
    <t>["M12", "M12", "REMACHE 4 X 10", 0, "Pza."],</t>
  </si>
  <si>
    <t>["M13", "M13", "TARUGOS NO. 6", 0, "Pza."],</t>
  </si>
  <si>
    <t>["M14", "M14", "TORNILLOS 8 X 1 1/2 ", 0, "Pza."],</t>
  </si>
  <si>
    <t>["M15", "M15", "TORNILLOS 8 X 1/2 ", 0, "Pza."],</t>
  </si>
  <si>
    <t>["M16", "M16", "TUBO GALVANIZADO DE 4" ", 0, "Mt lineal"],</t>
  </si>
  <si>
    <t>["V1", "V1", "VIDRIO TEMPLADO 10MM INCOLORO", 0, "Mt²"],</t>
  </si>
  <si>
    <t>["V2", "V2", "VIDRIO TEMPLADO 8MM INCOLORO", 0, "Mt²"],</t>
  </si>
  <si>
    <t>["V3", "V3", "VIDRIO TEMPLADO 6MM INCOLORO", 0, "Mt²"],</t>
  </si>
  <si>
    <t>["V4", "V4", "VIDRIO TEMPLADO 5MM INCOLORO", 0, "Mt²"],</t>
  </si>
  <si>
    <t>["V5", "V5", "VIDRIO TEMPLADO 4MM INCOLORO", 0, "Mt²"],</t>
  </si>
  <si>
    <t>["V6", "V6", "VIDRIO TEMPLADO 10MM COLOR", 0, "Mt²"],</t>
  </si>
  <si>
    <t>["V7", "V7", "VIDRIO TEMPLADO 8MM COLOR", 0, "Mt²"],</t>
  </si>
  <si>
    <t>["V8", "V8", "VIDRIO TEMPLADO 6MM COLOR", 0, "Mt²"],</t>
  </si>
  <si>
    <t>["V9", "V9", "VIDRIO TEMPLADO 5MM COLOR", 0, "Mt²"],</t>
  </si>
  <si>
    <t>["V10", "V10", "VIDRIO TEMPLADO 4MM COLOR", 0, "Mt²"],</t>
  </si>
  <si>
    <t>["V11", "V11", "VIDRIO TEMPLADO CATEDRAL 10MM INCOLORO", 0, "Mt²"],</t>
  </si>
  <si>
    <t>["V12", "V12", "VIDRIO TEMPLADO CATEDRAL 10MM COLOR", 0, "Mt²"],</t>
  </si>
  <si>
    <t>["V13", "V13", "CABEZAL, TAPA, GUIA, TAPA-GUIA 1.998 KG/MT", 0, "Mt lineal"],</t>
  </si>
  <si>
    <t>["V14", "V14", "VEDAPRES 001 - H DE ALUMINIO", 0, "Barra"],</t>
  </si>
  <si>
    <t>["V15", "V15", "VEDAPRES 002 - U DE ALUMINIO", 0, "Barra"],</t>
  </si>
  <si>
    <t>["V16", "V16", "VEDAPRES 003 - H (2,10MT/BARRA) INC.", 0, "Barra"],</t>
  </si>
  <si>
    <t>["V17", "V17", "VEDAPRES 001 - H (2,10MT/BARRA) BCE.", 0, "Barra"],</t>
  </si>
  <si>
    <t>["V18", "V18", "VEDAPRES 002 - UC (2,10MT/BARRA) BCE.", 0, "Barra"],</t>
  </si>
  <si>
    <t>["V19", "V19", "VEDAPRES 003 - H (2,10MT/BARRA) BCE.", 0, "Barra"],</t>
  </si>
  <si>
    <t>["V20", "V20", "FRENO HIDRÁULICO DORMA", 0, "Pza."],</t>
  </si>
  <si>
    <t>["V21", "V21", "FRENO HIDRÁULICO HYH", 0, "Pza."],</t>
  </si>
  <si>
    <t>["V22", "V22", "MANIJONES DE VIDRIO", 0, "Pza."],</t>
  </si>
  <si>
    <t>["V23", "V23", "1003 ( CROMADO Ó BRONCE VIEJO )", 0, "Pza."],</t>
  </si>
  <si>
    <t>["V24", "V24", "1013 ( CROMADO Ó BRONCE VIEJO )", 0, "Pza."],</t>
  </si>
  <si>
    <t>["V25", "V25", "1038 ( CROMADO Ó BRONCE VIEJO )", 0, "Pza."],</t>
  </si>
  <si>
    <t>["V26", "V26", "1038-C ( CROMADO Ó BRONCE VIEJO )", 0, "Pza."],</t>
  </si>
  <si>
    <t>["V27", "V27", "1101 ( CROMADO Ó BRONCE VIEJO )", 0, "Pza."],</t>
  </si>
  <si>
    <t>["V28", "V28", "1103 ( CROMADO Ó BRONCE VIEJO )", 0, "Pza."],</t>
  </si>
  <si>
    <t>["V29", "V29", "1114 ( CROMADO Ó BRONCE VIEJO )", 0, "Pza."],</t>
  </si>
  <si>
    <t>["V30", "V30", "1115 ( CROMADO Ó BRONCE VIEJO )", 0, "Pza."],</t>
  </si>
  <si>
    <t>["V31", "V31", "1117 ( CROMADO Ó BRONCE VIEJO )", 0, "Pza."],</t>
  </si>
  <si>
    <t>["V32", "V32", "1123 ( CROMADO Ó BRONCE VIEJO )", 0, "Pza."],</t>
  </si>
  <si>
    <t>["V33", "V33", "1125 ( CROMADO Ó BRONCE VIEJO )", 0, "Pza."],</t>
  </si>
  <si>
    <t>["V34", "V34", "1125-A ( CROMADO Ó BRONCE VIEJO )", 0, "Pza."],</t>
  </si>
  <si>
    <t>["V35", "V35", "1201 ( CROMADO Ó BRONCE VIEJO )", 0, "Pza."],</t>
  </si>
  <si>
    <t>["V36", "V36", "1203 ( CROMADO Ó BRONCE VIEJO )", 0, "Pza."],</t>
  </si>
  <si>
    <t>["V37", "V37", "1209 ( CROMADO Ó BRONCE VIEJO )", 0, "Pza."],</t>
  </si>
  <si>
    <t>["V38", "V38", "1230 ( CROMADO Ó BRONCE VIEJO )", 0, "Pza."],</t>
  </si>
  <si>
    <t>["V39", "V39", "1302 ( CROMADO Ó BRONCE VIEJO )", 0, "Pza."],</t>
  </si>
  <si>
    <t>["V40", "V40", "1306 ( CROMADO Ó BRONCE VIEJO )", 0, "Pza."],</t>
  </si>
  <si>
    <t>["V41", "V41", "1310 ( CROMADO Ó BRONCE VIEJO )", 0, "Pza."],</t>
  </si>
  <si>
    <t>["V42", "V42", "1316 ( CROMADO Ó BRONCE VIEJO )", 0, "Pza."],</t>
  </si>
  <si>
    <t>["V43", "V43", "1319 ( CROMADO Ó BRONCE VIEJO )", 0, "Pza."],</t>
  </si>
  <si>
    <t>["V44", "V44", "1329 ( CROMADO Ó BRONCE VIEJO )", 0, "Pza."],</t>
  </si>
  <si>
    <t>["V45", "V45", "1335 ( CROMADO Ó BRONCE VIEJO )", 0, "Pza."],</t>
  </si>
  <si>
    <t>["V46", "V46", "1335-C ( CROMADO Ó BRONCE VIEJO )", 0, "Pza."],</t>
  </si>
  <si>
    <t>["V47", "V47", "1504 ( CROMADO Ó BRONCE VIEJO )", 0, "Pza."],</t>
  </si>
  <si>
    <t>["V48", "V48", "1510 ( CROMADO Ó BRONCE VIEJO )", 0, "Pza."],</t>
  </si>
  <si>
    <t>["V49", "V49", "1511 ( CROMADO Ó BRONCE VIEJO )", 0, "Pza."],</t>
  </si>
  <si>
    <t>["V50", "V50", "1511-A ( CROMADO Ó BRONCE VIEJO )", 0, "Pza."],</t>
  </si>
  <si>
    <t>["V51", "V51", "1520 ( CROMADO Ó BRONCE VIEJO )", 0, "Pza."],</t>
  </si>
  <si>
    <t>["V52", "V52", "1523 ( CROMADO Ó BRONCE VIEJO )", 0, "Pza."],</t>
  </si>
  <si>
    <t>["V53", "V53", "1531 ( CROMADO Ó BRONCE VIEJO )", 0, "Pza."],</t>
  </si>
  <si>
    <t>["V54", "V54", "1629-J ( CROMADO Ó BRONCE VIEJO )", 0, "Pza."],</t>
  </si>
  <si>
    <t>["V55", "V55", "1629-P ( CROMADO Ó BRONCE VIEJO )", 0, "Pza."],</t>
  </si>
  <si>
    <t>["V56", "V56", "1636-AL ( CROMADO Ó BRONCE VIEJO )", 0, "Pza."],</t>
  </si>
  <si>
    <t>["V57", "V57", "1800 ( CROMADO Ó BRONCE VIEJO )", 0, "Pza."],</t>
  </si>
  <si>
    <t>["V58", "V58", "1800-C ( CROMADO Ó BRONCE VIEJO )", 0, "Pza."],</t>
  </si>
  <si>
    <t>["V59", "V59", "MANO DE OBRA INSTALACIÒN TEMPLADO", 0, "Mt²"],</t>
  </si>
  <si>
    <t>["V60", "V60", "HERRAJE ARANA", 0, "Pza."],</t>
  </si>
  <si>
    <t>["V61", "V61", "SOPORTE HERRAJE - TUBO", 0, "Pza."],</t>
  </si>
  <si>
    <t>["A1", "A1", "ALUMINIO ANODIZADO BRONCE O CHAMPAGNE", 0, "Kgr."],</t>
  </si>
  <si>
    <t>["A2", "A2", "ALUMINIO ANODIZADO NATURAL", 0, "Kgr."],</t>
  </si>
  <si>
    <t>["A3", "A3", "VIDRIO INCOLORORO 3MM", 0, "Mt²"],</t>
  </si>
  <si>
    <t>["A4", "A4", "VIDRIO INCOLORORO 4MM", 0, "Mt²"],</t>
  </si>
  <si>
    <t>["A5", "A5", "VIDRIO INCOLORORO 5MM", 0, "Mt²"],</t>
  </si>
  <si>
    <t>["A6", "A6", "VIDRIO INCOLORORO 6MM", 0, "Mt²"],</t>
  </si>
  <si>
    <t>["A7", "A7", "VIDRIO COLOR 3MM", 0, "Mt²"],</t>
  </si>
  <si>
    <t>["A8", "A8", "VIDRIO COLOR 4MM", 0, "Mt²"],</t>
  </si>
  <si>
    <t>["A9", "A9", "VIDRIO COLOR 5MM", 0, "Mt²"],</t>
  </si>
  <si>
    <t>["A10", "A10", "VIDRIO COLOR 6MM", 0, "Mt²"],</t>
  </si>
  <si>
    <t>["A11", "A11", "VIDRIO CATEDRAL CLARO", 0, "Mt²"],</t>
  </si>
  <si>
    <t>["A12", "A12", "VIDRIO CATEDRAL COLOR", 0, "Mt²"],</t>
  </si>
  <si>
    <t>["A13", "A13", "VIDRIO REFLECTIVO BRONCE O GRIS 4MM", 0, "Mt²"],</t>
  </si>
  <si>
    <t>["A14", "A14", "VIDRIO REFLECTIVO BRONCE O GRIS 5MM", 0, "Mt²"],</t>
  </si>
  <si>
    <t>["A15", "A15", "VIDRIO REFLECTIVO BRONCE O GRIS 6MM", 0, "Mt²"],</t>
  </si>
  <si>
    <t>["A16", "A16", "VIDRIO REFLECTIVO AZURLITE 4MM", 0, "Mt²"],</t>
  </si>
  <si>
    <t>["A17", "A17", "VIDRIO REFLECTIVO AZURLITE 5MM", 0, "Mt²"],</t>
  </si>
  <si>
    <t>["A18", "A18", "VIDRIO REFLECTIVO AZURLITE 6MM", 0, "Mt²"],</t>
  </si>
  <si>
    <t>["A19", "A19", "CINTA DOB.CONT. 4972 - 3M 1/2"=12MM (ROLLO DE 20)", 0, "Rollo"],</t>
  </si>
  <si>
    <t>["A20", "A20", "CINTA DOB.CONT. 4972 - 3M 3/4"=19MM (ROLLO DE 20)", 0, "Rollo"],</t>
  </si>
  <si>
    <t>["A21", "A21", "CINTA DOB.CONT. 4972 - 3M 1"=25MM (ROLLO DE 20)", 0, "Rollo"],</t>
  </si>
  <si>
    <t>["A22", "A22", "FELPA", 0, "Mt lineal"],</t>
  </si>
  <si>
    <t>["A23", "A23", "BURLETE", 0, "Mt lineal"],</t>
  </si>
  <si>
    <t>["A24", "A24", "PATIN SERIE 25", 0, "Pza."],</t>
  </si>
  <si>
    <t>["A25", "A25", "PATIN SERIE 20", 0, "Pza."],</t>
  </si>
  <si>
    <t>["A26", "A26", "PATIN SERIE 50", 0, "Pza."],</t>
  </si>
  <si>
    <t>["A27", "A27", "PATIN SERIE 4000", 0, "Pza."],</t>
  </si>
  <si>
    <t>["A28", "A28", "PATIN SHOWER DOOR", 0, "Pza."],</t>
  </si>
  <si>
    <t>["A29", "A29", "CIERRE SERIE 20", 0, "Pza."],</t>
  </si>
  <si>
    <t>["A30", "A30", "CIERRE SERIE 25", 0, "Pza."],</t>
  </si>
  <si>
    <t>["A31", "A31", "GUIA EXTERIOR SHOWER DOOR", 0, "Pza."],</t>
  </si>
  <si>
    <t>["A32", "A32", "GUIA SERIE 50", 0, "Pza."],</t>
  </si>
  <si>
    <t>["A33", "A33", "GUIA SERIE 20", 0, "Pza."],</t>
  </si>
  <si>
    <t>["A34", "A34", "GUIA SERIE 25", 0, "Pza."],</t>
  </si>
  <si>
    <t>["A35", "A35", "CELOSIAS 2 ALETAS - 320 MM.", 0, "Par"],</t>
  </si>
  <si>
    <t>["A36", "A36", "CELOSIAS 3 ALETAS - 460 MM.", 0, "Par"],</t>
  </si>
  <si>
    <t>["A37", "A37", "CELOSIAS 4 ALETAS - 600 MM.", 0, "Par"],</t>
  </si>
  <si>
    <t>["A38", "A38", "CELOSIAS 5 ALETAS - 740MM.", 0, "Par"],</t>
  </si>
  <si>
    <t>["A39", "A39", "CELOSIAS 6 ALETAS - 880 MM.", 0, "Par"],</t>
  </si>
  <si>
    <t>["A40", "A40", "CELOSIAS 7 ALETAS - 1000 MM.", 0, "Par"],</t>
  </si>
  <si>
    <t>["A41", "A41", "CELOSIAS 8 ALETAS - 1160 MM.", 0, "Par"],</t>
  </si>
  <si>
    <t>["A42", "A42", "CELOSIAS 9 ALETAS - 1300 MM.", 0, "Par"],</t>
  </si>
  <si>
    <t>["A43", "A43", "BISAGRA SERIE 32 Y 42", 0, "Pza."],</t>
  </si>
  <si>
    <t>["A44", "A44", "BISAGRA SERIE 35", 0, "Pza."],</t>
  </si>
  <si>
    <t>["A45", "A45", "BISAGRA SERIE 45", 0, "Pza."],</t>
  </si>
  <si>
    <t>["A46", "A46", "BRAZO DE APERTURA P/PROYECTANTE 300", 0, "Par"],</t>
  </si>
  <si>
    <t>["A47", "A47", "BRAZO DE APERTURA P/PROYECTANTE 400", 0, "Par"],</t>
  </si>
  <si>
    <t>["A48", "A48", "BRAZO DE APERTURA P/PROYECTANTE 500", 0, "Par"],</t>
  </si>
  <si>
    <t>["A49", "A49", "BRAZO DE APERTURA P/PROYECTANTE 650", 0, "Par"],</t>
  </si>
  <si>
    <t>["A50", "A50", "BRAZO DE APERTURA P/PROYECTANTE 900", 0, "Par"],</t>
  </si>
  <si>
    <t>["A51", "A51", "BRAZO DE APERTURA P/PROYECTANTE 1200", 0, "Par"],</t>
  </si>
  <si>
    <t>["A52", "A52", "MANIJA PARA PROYECTANTE", 0, "Pza."],</t>
  </si>
  <si>
    <t>["A53", "A53", "CHAPA P/PUERTA DE ALUMINIO", 0, "Pza."],</t>
  </si>
  <si>
    <t>["A54", "A54", "MANO DE OBRA CARPINTERÌA DE ALUMINIO.", 0, "Mt²"],</t>
  </si>
  <si>
    <t>["A55", "A55", "MANO DE OBRA FACHADAS, TECHOS Y ESPECIALES", 0, "Mt²"],</t>
  </si>
  <si>
    <t>["A56", "A56", "MANO DE OBRA COLOCACIÓN ESPEJOS", 0, "Mt²"],</t>
  </si>
  <si>
    <t>["A57", "A57", "MANO DE OBRA FABRICACIÓN MALLERAS", 0, "Mt²"],</t>
  </si>
  <si>
    <t>["A58", "A58", "MANO DE OBRA COLOCACIÓN CRUDO", 0, "Mt²"],</t>
  </si>
  <si>
    <t>["A59", "A59", "MANO DE OBRA DIVISORES DE AMBIENTE Y CIELOS", 0, "Mt²"],</t>
  </si>
  <si>
    <t>["A60", "A60", "TESADOR PARA PUERTAS 5/16", 0, "Pza."],</t>
  </si>
  <si>
    <t>["A61", "A61", "MALLA MILIMÉTRICA PLÁSTICA", 0, "Mt²"],</t>
  </si>
  <si>
    <t>["A62", "A62", "BISELADO HASTA 2,7 CM", 0, "Mt lineal"],</t>
  </si>
  <si>
    <t>["A63", "A63", "ESCUADRA DE ARMADO", 0, "Pza."],</t>
  </si>
  <si>
    <t>["A64", "A64", "VIDRIO ESPEJO INCOLORO 3MM", 0, "Mt²"],</t>
  </si>
  <si>
    <t>["A65", "A65", "VIDRIO ESPEJO INCOLORO 4MM", 0, "Mt²"],</t>
  </si>
  <si>
    <t>["A66", "A66", "PULIDO DE VIDRIO A MÁQUINA", 0, "Mt lineal"],</t>
  </si>
  <si>
    <t>["A67", "A67", "PERFORACIÓN DE VIDRIO", 0, "Hoyo"],</t>
  </si>
  <si>
    <t>["A68", "A68", "MANO DE OBRA CELOSÍAS", 0, "Pza."],</t>
  </si>
  <si>
    <t>["A69", "A69", "JALADOR PARA MALLERA", 0, "Pza."],</t>
  </si>
  <si>
    <t>["A70", "A70", "ANCLAJES DE HIERRO (PZAS.)", 0, "Pza."],</t>
  </si>
  <si>
    <t>["A71", "A71", "PERNOS DE EXPANSIÓN (PZAS.)", 0, "Pza."],</t>
  </si>
  <si>
    <t>["A72", "A72", "TORNILLO Y TUERCA DE 2" (PZAS.)", 0, "Pza."],</t>
  </si>
  <si>
    <t>["A73", "A73", "MANO DE OBRA BOX DE BANO RECTO", 0, "Mt²"],</t>
  </si>
  <si>
    <t>["A74", "A74", "MANO DE OBRA BOX DE BANO CURVO", 0, "Mt²"],</t>
  </si>
  <si>
    <t>["A75", "A75", "MANO DE OBRA FACHADA ESTRUCTURAL PEQUE", 0, "Mt²"],</t>
  </si>
  <si>
    <t>["A76", "A76", "MANO DE OBRA FACHADA ESTRUCTURAL GRANDE", 0, "Mt²"],</t>
  </si>
  <si>
    <t>["A77", "A77", "MANO DE OBRA CARPINTERIA DE ALUMINIO CON TERMOPANEL", 0, "Mt²"],</t>
  </si>
  <si>
    <t>["A78", "A78", "JALADORES PAR SERIE 25", 0, "Pza."],</t>
  </si>
  <si>
    <t>["A79", "A79", "ALUCOBOND - WILSTRONG ", 0, "Mt²"],</t>
  </si>
  <si>
    <t>["A80", "A80", "VIDRIO LAMINADO REFLECTIVO GRIS 4+4MM", 0, "Mt²"],</t>
  </si>
  <si>
    <t>["A81", "A81", "VIDRIO LAMINADO REFLECTIVO AZUL 4+4MM", 0, "Mt²"],</t>
  </si>
  <si>
    <t>["A82", "A82", "VIDRIO LAMINADO INCOLORO 4+4MM", 0, "Mt²"],</t>
  </si>
  <si>
    <t>["A83", "A83", "PATIN SERIE 30 + RIEL SUP", 0, "Pza."],</t>
  </si>
  <si>
    <t>["A84", "A84", "PANEL CIELO FALSO 122X61", 0, "Mt²"],</t>
  </si>
  <si>
    <t>["A85", "A85", "PANEL CIELO FALSO 61X61", 0, "Mt²"],</t>
  </si>
  <si>
    <t>["A86", "A86", "ALAMBRE GALVANIZADO", 0, "Kgr."],</t>
  </si>
  <si>
    <t>["A87", "A87", "ACRILICO", 0, "Mt²"],</t>
  </si>
  <si>
    <t>["A88", "A88", "VIDRIO LAMINADO REFLECTIVO BRONCE O GRIS 5+5 MM", 0, "Mt²"],</t>
  </si>
  <si>
    <t>["A89", "A89", "VIDRIO TERMOPANEL DVH INCOLORO 5+5MM + 7 X (2H+2B)", 0, "Mt²"],</t>
  </si>
  <si>
    <t>["A90", "A90", "VIDRIO LAMINADO INCOLORO 3+3 MM", 0, "Mt²"],</t>
  </si>
  <si>
    <t>["A91", "A91", "VIDRIO TERMOPANEL DVH INCOLORO 5+6(3+3)MM + 7 X (2H+2B)", 0, "Mt²"],</t>
  </si>
  <si>
    <t>["A92", "A92", "ALUMINIO  6001", 0, "Mt. Lin."],</t>
  </si>
  <si>
    <t>["A93", "A93", "ALUMINIO  6002", 0, "Mt. Lin."],</t>
  </si>
  <si>
    <t>["A94", "A94", "ALUMINIO  6004", 0, "Mt. Lin."],</t>
  </si>
  <si>
    <t>["A95", "A95", "ALUMINIO  6005", 0, "Mt. Lin."],</t>
  </si>
  <si>
    <t>["A96", "A96", "JALADORES PAR", 0, "Pza."],</t>
  </si>
  <si>
    <t>["A97", "A97", "RODAMIENTO SERIE 60 ALVI", 0, "Pza."],</t>
  </si>
  <si>
    <t>["A98", "A98", "MANIJA + KIT BIPUNTO SERIE 60 ALVI", 0, "Pza."],</t>
  </si>
  <si>
    <t xml:space="preserve">codigo </t>
  </si>
  <si>
    <t>codigo original</t>
  </si>
  <si>
    <t>descripcion</t>
  </si>
  <si>
    <t>unidad</t>
  </si>
  <si>
    <t>observaciones</t>
  </si>
  <si>
    <t>OB</t>
  </si>
  <si>
    <t>CL</t>
  </si>
  <si>
    <t>TE</t>
  </si>
  <si>
    <t>DI</t>
  </si>
  <si>
    <t>CO</t>
  </si>
  <si>
    <t>OBS</t>
  </si>
  <si>
    <t xml:space="preserve">OBRA  </t>
  </si>
  <si>
    <t xml:space="preserve">TELEFONO  </t>
  </si>
  <si>
    <t xml:space="preserve">DIRECCION  </t>
  </si>
  <si>
    <t xml:space="preserve">CORREO  </t>
  </si>
  <si>
    <t xml:space="preserve">OBSERVACIONES  </t>
  </si>
  <si>
    <t xml:space="preserve">PAÑOS FIJOS CON VIDRIO TEMPLADO INCOLORO DE 8 mm DE ESPESOR </t>
  </si>
  <si>
    <t xml:space="preserve">PAÑOS FIJOS CON VIDRIO TEMPLADO COLOR DE 8 mm DE ESPESOR </t>
  </si>
  <si>
    <t xml:space="preserve">PAÑOS FIJOS CON VIDRIO TEMPLADO INCOLORO DE 10 mm DE ESPESOR </t>
  </si>
  <si>
    <t xml:space="preserve"> PAÑOS FIJOS CON VIDRIO TEMPLADO COLOR DE 10 mm DE ESPESOR </t>
  </si>
  <si>
    <t>ac_cantidad</t>
  </si>
  <si>
    <t>ac_costoc</t>
  </si>
  <si>
    <t>ac_costos</t>
  </si>
  <si>
    <t>Pza(s).</t>
  </si>
  <si>
    <t>Datos para proforma</t>
  </si>
  <si>
    <t>OTRO</t>
  </si>
  <si>
    <t>1318 ( CROMADO Ó BRONCE VIEJO )</t>
  </si>
  <si>
    <t xml:space="preserve">Alvicruz + 0,15 transp - cbba -  - 14,45 - santa puej - puestos S.C. - </t>
  </si>
  <si>
    <t>ESMERILADO</t>
  </si>
  <si>
    <t xml:space="preserve">FRENTE TIPO SPYDER CON SOPORTE TUBULAR DE VIDRIO TEMPLADO INCOLORO DE 10 mm DE ESPESOR </t>
  </si>
  <si>
    <t xml:space="preserve">FRENTE TIPO SPYDER CON SOPORTE TUBULAR DE VIDRIO TEMPLADO COLOR DE 10 mm DE ESPESOR </t>
  </si>
  <si>
    <t xml:space="preserve">FRENTE DE VIDRIO TEMPLADO CON HERRAJES Y VIENTOS INCOLORO DE 10 mm DE ESPESOR </t>
  </si>
  <si>
    <t xml:space="preserve">FRENTE DE VIDRIO TEMPLADO CON HERRAJES Y VIENTOS COLOR DE 10 mm DE ESPESOR </t>
  </si>
  <si>
    <t xml:space="preserve">VENTANAS CORREDIZAS DE 2 HOJAS CON VIDRIO TEMPLADO INCOLORO DE 8 mm DE ESPESOR </t>
  </si>
  <si>
    <t xml:space="preserve">VENTANAS CORREDIZAS DE 2 HOJAS CON VIDRIO TEMPLADO COLOR DE 8 mm DE ESPESOR </t>
  </si>
  <si>
    <t xml:space="preserve">VENTANAS CORREDIZAS DE 4 HOJAS CON VIDRIO TEMPLADO INCOLORO DE 8 mm DE ESPESOR </t>
  </si>
  <si>
    <t xml:space="preserve">VENTANAS CORREDIZAS DE 4 HOJAS CON VIDRIO TEMPLADO COLOR DE 8 mm DE ESPESOR </t>
  </si>
  <si>
    <t>CINTA MASKING 1/2  Pulg. (ROLLO DE 20)</t>
  </si>
  <si>
    <t xml:space="preserve">TUBO GALVANIZADO DE 4 Pulg. </t>
  </si>
  <si>
    <t>CINTA DOB.CONT. 4972 - 3M 1/2 Pulg.=12MM (ROLLO DE 20)</t>
  </si>
  <si>
    <t>CINTA DOB.CONT. 4972 - 3M 3/4 Pulg.=19MM (ROLLO DE 20)</t>
  </si>
  <si>
    <t>CINTA DOB.CONT. 4972 - 3M 1 Pulg.=25MM (ROLLO DE 20)</t>
  </si>
  <si>
    <t>TORNILLO Y TUERCA DE 2 Pulg. (PZAS.)</t>
  </si>
  <si>
    <t>ac_metros2</t>
  </si>
  <si>
    <t>costoc</t>
  </si>
  <si>
    <t>costos</t>
  </si>
  <si>
    <t>venta1CF</t>
  </si>
  <si>
    <t>venta1CD</t>
  </si>
  <si>
    <t>venta2CF</t>
  </si>
  <si>
    <t>venta2CD</t>
  </si>
  <si>
    <t>ac_precio1cf</t>
  </si>
  <si>
    <t>ac_precio1cd</t>
  </si>
  <si>
    <t>ac_precio2cf</t>
  </si>
  <si>
    <t>ac_precio2cd</t>
  </si>
  <si>
    <t>PF8</t>
  </si>
  <si>
    <t>PF8C</t>
  </si>
  <si>
    <t>PF10</t>
  </si>
  <si>
    <t>PF10C</t>
  </si>
  <si>
    <t>FTTS10</t>
  </si>
  <si>
    <t>FTTS10C</t>
  </si>
  <si>
    <t>FTCV10</t>
  </si>
  <si>
    <t>FTCV10C</t>
  </si>
  <si>
    <t>PVC2H10</t>
  </si>
  <si>
    <t>PVC2H10C</t>
  </si>
  <si>
    <t>PVC4H10</t>
  </si>
  <si>
    <t>PVC4H10C</t>
  </si>
  <si>
    <t xml:space="preserve">CLIENTE  </t>
  </si>
  <si>
    <t>U  15 X 15   ( 16X16 ) - 0,159 KG/MT.</t>
  </si>
  <si>
    <t>U  15 X 25 - 0,20 KG/MT.</t>
  </si>
  <si>
    <t>obra</t>
  </si>
  <si>
    <t>cliente</t>
  </si>
  <si>
    <t>telefono</t>
  </si>
  <si>
    <t>direccion</t>
  </si>
  <si>
    <t>correo</t>
  </si>
  <si>
    <t>observa</t>
  </si>
  <si>
    <t xml:space="preserve">["codigo ", "codigo original", "descripcion", "unidad", costoc, costos, venta1CF, venta1CD, venta2CF, venta2CD, "observaciones", ac_cantidad, ac_metros2, ac_costoc, ac_costos, ac_precio1cf, ac_precio1cd, ac_precio2cf, ac_precio2cd], </t>
  </si>
  <si>
    <t xml:space="preserve">["M2", "M2", "SILICONA ESTRUCTURAL", "Tubo", 6.24, 6, 7.11, 6.59, 7.44, 6.9, "MAROL 20 Bs. -   -   - ", 0, 0, 0, 0, 0, 0, 0, 0], </t>
  </si>
  <si>
    <t xml:space="preserve">FRENTE DE VIDRIO TEMPLADO CON HERRAJES Y VIENTOS INCOLORO DE 8 mm DE ESPESOR </t>
  </si>
  <si>
    <t xml:space="preserve">FRENTE DE VIDRIO TEMPLADO CON HERRAJES Y VIENTOS COLOR DE 8 mm DE ESPESOR </t>
  </si>
  <si>
    <t>FTCV8</t>
  </si>
  <si>
    <t>FTCV8C</t>
  </si>
  <si>
    <t xml:space="preserve">FRENTE TIPO SPYDER CON SOPORTE TUBULAR DE VIDRIO TEMPLADO INCOLORO DE 8 mm DE ESPESOR </t>
  </si>
  <si>
    <t xml:space="preserve">FRENTE TIPO SPYDER CON SOPORTE TUBULAR DE VIDRIO TEMPLADO COLOR DE 8 mm DE ESPESOR </t>
  </si>
  <si>
    <t>TECNICO</t>
  </si>
  <si>
    <t>TEC</t>
  </si>
  <si>
    <t xml:space="preserve">['M2', 'M2', 'SILICONA ESTRUCTURAL', 'Tubo', 6.24, 6, 7.11, 6.59, 7.44, 6.9, 'MAROL 20 Bs. -   -   - ', 0, 0, 0, 0, 0, 0, 0, 0], </t>
  </si>
  <si>
    <t>Suma</t>
  </si>
  <si>
    <t>Promedio</t>
  </si>
  <si>
    <t>Total</t>
  </si>
  <si>
    <t>Recuento</t>
  </si>
  <si>
    <t>Alvicruz 4.1 + 15% - 0.954 Kgr./barra - 4.715 $us./barra - 4 puesto S.C.</t>
  </si>
  <si>
    <t>Alvicruz 5.9  + 15% - 1.2 Kgr./barra - 6.785 $us./barra - 5.8 puesto S.C.</t>
  </si>
  <si>
    <t xml:space="preserve">Alcoa 6.73 + 15% - 6.222 Kgr./barra - 48.155169 $us./barra - </t>
  </si>
  <si>
    <t xml:space="preserve">Alcoa 6.73 + 15% - 3.744 Kgr./barra - 28.976688 $us./barra - </t>
  </si>
  <si>
    <t>Alvicruz 27.30  + 15% - 5.688 Kgr./barra - 31.395 $us./barra - 26.80 puesto S.C.</t>
  </si>
  <si>
    <t>Alvicruz 18.4  + 15% - 4.23 Kgr./barra - 21.16 $us./barra - 18 puesto S.C.</t>
  </si>
  <si>
    <t>Alvicruz 38  + 15% - 4.716 Kgr./barra - 43.7 $us./barra - 37.50 puesto S.C.</t>
  </si>
  <si>
    <t>MURANO 26 + 5%desp. - cbba - 180 - 25.83 - santa puej - 209.1 - 30</t>
  </si>
  <si>
    <t>MURANO 25 + 5% desp - cbba - 175 - 25.11 - santa puej - 202.13 - 29</t>
  </si>
  <si>
    <t xml:space="preserve">MURANO 39 + 5% desp. - cbba -  - 38.7931034482759 - santa puej - 270 - </t>
  </si>
  <si>
    <t xml:space="preserve">MURANO 38 + 5% desp. - cbba -  - 37.3563218390805 - santa puej - 260 - </t>
  </si>
  <si>
    <t>Alvicruz 49.45+ 15%desp. - cbba - 11.988 - Kgr./juego - santa puej - 56.8675 - $us./barra47.45 puesto S.C.</t>
  </si>
  <si>
    <t>Alvicruz 7.25+ 15%desp. - cbba - 1.542 - Kgr./barra - santa puej - 8.625 - $us./barra7.15 puesto S.C.</t>
  </si>
  <si>
    <t>Alvicruz 4.30+ 15%desp. - cbba - 0.906 - Kgr./barra - santa puej - 5.175 - $us./barra4.20 puesto S.C.</t>
  </si>
  <si>
    <t xml:space="preserve">Alvicruz + 0.15 transp - cbba -  - 2.4 - santa puej - puestos S.C. - </t>
  </si>
  <si>
    <t xml:space="preserve">Alvicruz + 0.15 transp - cbba -  - 3 - santa puej - puestos S.C. - </t>
  </si>
  <si>
    <t xml:space="preserve">Alvicruz + 0.15 transp - cbba -  - 1 - santa puej - puestos S.C. - </t>
  </si>
  <si>
    <t xml:space="preserve">Alvicruz + 0.15 transp - cbba -  - 7.5 - santa puej - puestos S.C. - </t>
  </si>
  <si>
    <t xml:space="preserve">Alvicruz + 0.15 transp - cbba -  - 8.5 - santa puej - puestos S.C. - </t>
  </si>
  <si>
    <t xml:space="preserve">Alvicruz + 0.15 transp - cbba -  - 6.8 - santa puej - puestos S.C. - </t>
  </si>
  <si>
    <t xml:space="preserve">Alvicruz + 0.15 transp - cbba -  - 21 - santa puej - puestos S.C. - </t>
  </si>
  <si>
    <t xml:space="preserve">Alvicruz + 0.15 transp - cbba -  - 3.5 - santa puej - puestos S.C. - </t>
  </si>
  <si>
    <t xml:space="preserve">Alvicruz + 0.15 transp - cbba -  - 0.55 - santa puej - puestos S.C. - </t>
  </si>
  <si>
    <t xml:space="preserve">Alvicruz + 0.15 transp - cbba -  - 2.2 - santa puej - puestos S.C. - </t>
  </si>
  <si>
    <t xml:space="preserve">Alvicruz + 0.15 transp - cbba -  - 1.4 - santa puej - puestos S.C. - </t>
  </si>
  <si>
    <t xml:space="preserve">Alvicruz + 0.15 transp - cbba -  - 9 - santa puej - puestos S.C. - </t>
  </si>
  <si>
    <t xml:space="preserve">Alvicruz + 0.15 transp - cbba -  - 11 - santa puej - puestos S.C. - </t>
  </si>
  <si>
    <t xml:space="preserve">Alvicruz + 0.15 transp - cbba -  - 2.8 - santa puej - puestos S.C. - </t>
  </si>
  <si>
    <t xml:space="preserve">Alvicruz + 0.15 transp - cbba -  - 5.5 - santa puej - puestos S.C. - </t>
  </si>
  <si>
    <t xml:space="preserve">Alvicruz + 0.15 transp - cbba -  - 7 - santa puej - puestos S.C. - </t>
  </si>
  <si>
    <t xml:space="preserve">Alvicruz + 0.15 transp - cbba -  - 8.8 - santa puej - puestos S.C. - </t>
  </si>
  <si>
    <t xml:space="preserve">Alvicruz + 0.15 transp - cbba -  - 20 - santa puej - puestos S.C. - </t>
  </si>
  <si>
    <t xml:space="preserve">Alvicruz + 0.15 transp - cbba -  - 5 - santa puej - puestos S.C. - </t>
  </si>
  <si>
    <t xml:space="preserve">Alvicruz + 0.15 transp - cbba -  - 4.5 - santa puej - puestos S.C. - </t>
  </si>
  <si>
    <t xml:space="preserve">Alvicruz + 0.15 transp - cbba -  - 1.8 - santa puej - puestos S.C. - </t>
  </si>
  <si>
    <t xml:space="preserve">Alvicruz + 0.15 transp - cbba -  - 18 - santa puej - puestos S.C. - </t>
  </si>
  <si>
    <t xml:space="preserve">Alvicruz + 0.15 transp - cbba -  - 9.5 - santa puej - puestos S.C. - </t>
  </si>
  <si>
    <t xml:space="preserve">Alvicruz + 0.15 transp - cbba -  - 2 - santa puej - puestos S.C. - </t>
  </si>
  <si>
    <t xml:space="preserve">Alvicruz + 0.15 transp - cbba -  - 14 - santa puej - puestos S.C. - </t>
  </si>
  <si>
    <t xml:space="preserve">Alvicruz + 0.15 transp - cbba -  - 6 - santa puej - puestos S.C. - </t>
  </si>
  <si>
    <t xml:space="preserve">Alvicruz + 0.15 transp - cbba -  - 3.2 - santa puej - puestos S.C. - </t>
  </si>
  <si>
    <t xml:space="preserve">Alvicruz + 0.15 transp - cbba -  - 6.2 - santa puej - puestos S.C. - </t>
  </si>
  <si>
    <t>14.6</t>
  </si>
  <si>
    <t>16.64</t>
  </si>
  <si>
    <t>16.06</t>
  </si>
  <si>
    <t>17.39</t>
  </si>
  <si>
    <t>16.79</t>
  </si>
  <si>
    <t xml:space="preserve">Alvicruz + 0.15 transp - cbba -  - 14.5 - santa puej - puestos S.C. - </t>
  </si>
  <si>
    <t xml:space="preserve">Alcoa 6.73 + 15% - cbba -  -  - santa puej -  - </t>
  </si>
  <si>
    <t xml:space="preserve">Oriental 9.48 + 15% - cbba -  -  - santa puej - 9.47449823569479 - </t>
  </si>
  <si>
    <t xml:space="preserve">Oriental 10.76 + 15% - cbba -  -  - santa puej - 10.754835835113 - </t>
  </si>
  <si>
    <t xml:space="preserve">Oriental 14.30 + 15% - cbba -  -  - santa puej - 14.0837135936004 - </t>
  </si>
  <si>
    <t xml:space="preserve">Revibol - 5.55  + 15% - cbba -  -  - santa puej -  - </t>
  </si>
  <si>
    <t xml:space="preserve">Revibol - 7.16 + 15% - cbba -  -  - santa puej -  - </t>
  </si>
  <si>
    <t xml:space="preserve">Revibol - 9.15 - 8.38 - 18% - cbba -  -  - santa puej -  - </t>
  </si>
  <si>
    <t xml:space="preserve">Revibol - 10.98 - 9.89 - 18% - cbba -  -  - santa puej -  - </t>
  </si>
  <si>
    <t xml:space="preserve">ALVICRUZ    24.90 + 15% - cbba -  -  - santa puej -  - </t>
  </si>
  <si>
    <t xml:space="preserve">ALVICRUZ = 33.32 - cbba -  -  - santa puej - 5.55333333333333 - </t>
  </si>
  <si>
    <t xml:space="preserve">ALVICRUZ = 11.22 - cbba -  -  - santa puej - 1.87 - </t>
  </si>
  <si>
    <t xml:space="preserve">ALVICRUZ = 25.95 - cbba -  -  - santa puej - 4.325 - </t>
  </si>
  <si>
    <t xml:space="preserve">ALVICRUZ = 16.12 - cbba -  -  - santa puej - 2.68666666666667 - </t>
  </si>
  <si>
    <t>0.00</t>
  </si>
  <si>
    <t xml:space="preserve">["M1", "M1", "SILICONA TRANSPARENTE, BLANCA O NEGRA", "Tubo", 2.9, 2.9, 3.31, 3.19, 3.46, 3.34, "MAROL 20 Bs. -   -   - ", 0.00, 0.00, 0.00, 0.00, 0.00, 0.00, 0.00, 0.00], </t>
  </si>
  <si>
    <t xml:space="preserve">["M2", "M2", "SILICONA ESTRUCTURAL", "Tubo", 6.24, 6, 7.11, 6.59, 7.44, 6.9, "MAROL 20 Bs. -   -   - ", 0.00, 0.00, 0.00, 0.00, 0.00, 0.00, 0.00, 0.00], </t>
  </si>
  <si>
    <t xml:space="preserve">["M3", "M3", "CINTA MASKING 1/2  Pulg. (ROLLO DE 20)", "Rollo", 0.65, 0.65, 0.75, 0.72, 0.78, 0.75, "Ribepar  -   -   - ", 0.00, 0.00, 0.00, 0.00, 0.00, 0.00, 0.00, 0.00], </t>
  </si>
  <si>
    <t xml:space="preserve">["M4", "M4", "U  15 X 15   ( 16X16 ) - 0,159 KG/MT.", "Mt lineal", 0.79, 0.79, 0.9, 0.87, 0.95, 0.91, "Alvicruz 4.1 + 15% - 0.954 Kgr./barra - 4.715 $us./barra - 4 puesto S.C.", 0.00, 0.00, 0.00, 0.00, 0.00, 0.00, 0.00, 0.00], </t>
  </si>
  <si>
    <t xml:space="preserve">["M5", "M5", "U  15 X 25 - 0,20 KG/MT.", "Mt lineal", 1.14, 1.14, 1.29, 1.25, 1.36, 1.32, "Alvicruz 5.9  + 15% - 1.2 Kgr./barra - 6.785 $us./barra - 5.8 puesto S.C.", 0.00, 0.00, 0.00, 0.00, 0.00, 0.00, 0.00, 0.00], </t>
  </si>
  <si>
    <t xml:space="preserve">["M6", "M6", "TUBO 50 X 50 - 1,037 KG/MT.", "Mt lineal", 8.03, 7.71, 9.15, 8.48, 9.57, 8.87, "Alcoa 6.73 + 15% - 6.222 Kgr./barra - 48.155169 $us./barra - ", 0.00, 0.00, 0.00, 0.00, 0.00, 0.00, 0.00, 0.00], </t>
  </si>
  <si>
    <t xml:space="preserve">["M7", "M7", "TUBO 40 X 40 - 0,624 KG/MT.", "Mt lineal", 4.83, 4.64, 5.51, 5.1, 5.76, 5.34, "Alcoa 6.73 + 15% - 3.744 Kgr./barra - 28.976688 $us./barra - ", 0.00, 0.00, 0.00, 0.00, 0.00, 0.00, 0.00, 0.00], </t>
  </si>
  <si>
    <t xml:space="preserve">["M8", "M8", "TUBO 80 X 40 - 0,948 KG/MT.", "Mt lineal", 5.24, 5.24, 5.97, 5.76, 6.25, 6.03, "Alvicruz 27.30  + 15% - 5.688 Kgr./barra - 31.395 $us./barra - 26.80 puesto S.C.", 0.00, 0.00, 0.00, 0.00, 0.00, 0.00, 0.00, 0.00], </t>
  </si>
  <si>
    <t xml:space="preserve">["M9", "M9", "TUBO 60 X 30 - 0,705 KG/MT.", "Mt lineal", 3.53, 3.53, 4.02, 3.88, 4.21, 4.06, "Alvicruz 18.4  + 15% - 4.23 Kgr./barra - 21.16 $us./barra - 18 puesto S.C.", 0.00, 0.00, 0.00, 0.00, 0.00, 0.00, 0.00, 0.00], </t>
  </si>
  <si>
    <t xml:space="preserve">["M10", "M10", "TUBO 100 X 50 - 1,560 KG/MT.", "Mt lineal", 7.29, 7.29, 8.3, 8.02, 8.69, 8.39, "Alvicruz 38  + 15% - 4.716 Kgr./barra - 43.7 $us./barra - 37.50 puesto S.C.", 0.00, 0.00, 0.00, 0.00, 0.00, 0.00, 0.00, 0.00], </t>
  </si>
  <si>
    <t xml:space="preserve">["M11", "M11", "FELPA", "Mt lineal", 0.15, 0.15, 0.18, 0.17, 0.18, 0.18, "Indalum -   -   - ", 0.00, 0.00, 0.00, 0.00, 0.00, 0.00, 0.00, 0.00], </t>
  </si>
  <si>
    <t xml:space="preserve">["M12", "M12", "REMACHE 4 X 10", "Pza.", 0.03, 0.03, 0.04, 0.04, 0.04, 0.04, "Perbol -   -   - ", 0.00, 0.00, 0.00, 0.00, 0.00, 0.00, 0.00, 0.00], </t>
  </si>
  <si>
    <t xml:space="preserve">["M13", "M13", "TARUGOS NO. 6", "Pza.", 0.03, 0.03, 0.04, 0.04, 0.04, 0.04, "Perbol -   -   - ", 0.00, 0.00, 0.00, 0.00, 0.00, 0.00, 0.00, 0.00], </t>
  </si>
  <si>
    <t xml:space="preserve">["M14", "M14", "TORNILLOS 8 X 1 1/2 ", "Pza.", 0.03, 0.03, 0.04, 0.04, 0.04, 0.04, "Perbol -   -   - ", 0.00, 0.00, 0.00, 0.00, 0.00, 0.00, 0.00, 0.00], </t>
  </si>
  <si>
    <t xml:space="preserve">["M15", "M15", "TORNILLOS 8 X 1/2 ", "Pza.", 0.02, 0.02, 0.03, 0.03, 0.03, 0.03, "Perbol -   -   - ", 0.00, 0.00, 0.00, 0.00, 0.00, 0.00, 0.00, 0.00], </t>
  </si>
  <si>
    <t xml:space="preserve">["M16", "M16", "TUBO GALVANIZADO DE 4 Pulg. ", "Mt lineal", 26.25, 25.2, 29.91, 27.72, 31.27, 28.98, "Las Lomas ( 150+5%uniones) -   -   - ", 0.00, 0.00, 0.00, 0.00, 0.00, 0.00, 0.00, 0.00], </t>
  </si>
  <si>
    <t xml:space="preserve">["V1", "V1", "VIDRIO TEMPLADO 10MM INCOLORO", "Mt²", 31.5, 31.5, 35.89, 34.65, 37.52, 36.23, "MURANO 26 + 5%desp. - cbba - 180 - 25.83 - santa puej - 209.1 - 30", 0.00, 0.00, 0.00, 0.00, 0.00, 0.00, 0.00, 0.00], </t>
  </si>
  <si>
    <t xml:space="preserve">["V2", "V2", "VIDRIO TEMPLADO 8MM INCOLORO", "Mt²", 30.45, 30.45, 34.7, 33.5, 36.27, 35.02, "MURANO 25 + 5% desp - cbba - 175 - 25.11 - santa puej - 202.13 - 29", 0.00, 0.00, 0.00, 0.00, 0.00, 0.00, 0.00, 0.00], </t>
  </si>
  <si>
    <t xml:space="preserve">["V3", "V3", "VIDRIO TEMPLADO 6MM INCOLORO", "Mt²", 26, 25, 29.63, 27.5, 30.97, 28.75, "Revibol - cbba -  -  - santa puej -  - ", 0.00, 0.00, 0.00, 0.00, 0.00, 0.00, 0.00, 0.00], </t>
  </si>
  <si>
    <t xml:space="preserve">["V4", "V4", "VIDRIO TEMPLADO 5MM INCOLORO", "Mt²", 24, 24, 27.35, 26.4, 28.59, 27.6, "Revibol - cbba -  -  - santa puej -  - ", 0.00, 0.00, 0.00, 0.00, 0.00, 0.00, 0.00, 0.00], </t>
  </si>
  <si>
    <t xml:space="preserve">["V5", "V5", "VIDRIO TEMPLADO 4MM INCOLORO", "Mt²", 21, 21, 23.93, 23.1, 25.02, 24.15, "Revibol - cbba -  -  - santa puej -  - ", 0.00, 0.00, 0.00, 0.00, 0.00, 0.00, 0.00, 0.00], </t>
  </si>
  <si>
    <t xml:space="preserve">["V6", "V6", "VIDRIO TEMPLADO 10MM COLOR", "Mt²", 40.95, 40.95, 46.66, 45.05, 48.78, 47.1, "MURANO 39 + 5% desp. - cbba -  - 38.7931034482759 - santa puej - 270 - ", 0.00, 0.00, 0.00, 0.00, 0.00, 0.00, 0.00, 0.00], </t>
  </si>
  <si>
    <t xml:space="preserve">["V7", "V7", "VIDRIO TEMPLADO 8MM COLOR", "Mt²", 39.9, 39.9, 45.46, 43.89, 47.53, 45.89, "MURANO 38 + 5% desp. - cbba -  - 37.3563218390805 - santa puej - 260 - ", 0.00, 0.00, 0.00, 0.00, 0.00, 0.00, 0.00, 0.00], </t>
  </si>
  <si>
    <t xml:space="preserve">["V8", "V8", "VIDRIO TEMPLADO 6MM COLOR", "Mt²", 42, 40, 47.85, 44, 50.03, 46, "Revibol - cbba -  -  - santa puej -  - ", 0.00, 0.00, 0.00, 0.00, 0.00, 0.00, 0.00, 0.00], </t>
  </si>
  <si>
    <t xml:space="preserve">["V9", "V9", "VIDRIO TEMPLADO 5MM COLOR", "Mt²", 40, 38, 45.58, 41.8, 47.65, 43.7, "Revibol - cbba -  -  - santa puej -  - ", 0.00, 0.00, 0.00, 0.00, 0.00, 0.00, 0.00, 0.00], </t>
  </si>
  <si>
    <t xml:space="preserve">["V10", "V10", "VIDRIO TEMPLADO 4MM COLOR", "Mt²", 38, 36, 43.3, 39.6, 45.27, 41.4, "Revibol - cbba -  -  - santa puej -  - ", 0.00, 0.00, 0.00, 0.00, 0.00, 0.00, 0.00, 0.00], </t>
  </si>
  <si>
    <t xml:space="preserve">["V11", "V11", "VIDRIO TEMPLADO CATEDRAL 10MM INCOLORO", "Mt²", 44, 44, 50.13, 48.4, 52.41, 50.6, "Revibol - cbba -  -  - santa puej -  - ", 0.00, 0.00, 0.00, 0.00, 0.00, 0.00, 0.00, 0.00], </t>
  </si>
  <si>
    <t xml:space="preserve">["V12", "V12", "VIDRIO TEMPLADO CATEDRAL 10MM COLOR", "Mt²", 46, 46, 52.41, 50.6, 54.79, 52.9, "Revibol - cbba -  -  - santa puej -  - nuevos", 0.00, 0.00, 0.00, 0.00, 0.00, 0.00, 0.00, 0.00], </t>
  </si>
  <si>
    <t xml:space="preserve">["V13", "V13", "CABEZAL, TAPA, GUIA, TAPA-GUIA 1.998 KG/MT", "Mt lineal", 9.48, 9.48, 10.8, 10.43, 11.3, 10.91, "Alvicruz 49.45+ 15%desp. - cbba - 11.988 - Kgr./juego - santa puej - 56.8675 - $us./barra47.45 puesto S.C.", 0.00, 0.00, 0.00, 0.00, 0.00, 0.00, 0.00, 0.00], </t>
  </si>
  <si>
    <t xml:space="preserve">["V14", "V14", "VEDAPRES 001 - H DE ALUMINIO", "Barra", 8.63, 8.63, 9.83, 9.49, 10.28, 9.93, "Alvicruz 7.25+ 15%desp. - cbba - 1.542 - Kgr./barra - santa puej - 8.625 - $us./barra7.15 puesto S.C.", 0.00, 0.00, 0.00, 0.00, 0.00, 0.00, 0.00, 0.00], </t>
  </si>
  <si>
    <t xml:space="preserve">["V15", "V15", "VEDAPRES 002 - U DE ALUMINIO", "Barra", 5.18, 5.18, 5.9, 5.7, 6.17, 5.96, "Alvicruz 4.30+ 15%desp. - cbba - 0.906 - Kgr./barra - santa puej - 5.175 - $us./barra4.20 puesto S.C.", 0.00, 0.00, 0.00, 0.00, 0.00, 0.00, 0.00, 0.00], </t>
  </si>
  <si>
    <t xml:space="preserve">["V16", "V16", "VEDAPRES 003 - H (2,10MT/BARRA) INC.", "Barra", 5.25, 5, 5.99, 5.5, 6.26, 5.75, "Florencio Rivero - cbba -  -  - santa puej -  - ", 0.00, 0.00, 0.00, 0.00, 0.00, 0.00, 0.00, 0.00], </t>
  </si>
  <si>
    <t xml:space="preserve">["V17", "V17", "VEDAPRES 001 - H (2,10MT/BARRA) BCE.", "Barra", 5.25, 5, 5.99, 5.5, 6.26, 5.75, "Florencio Rivero - cbba -  -  - santa puej -  - ", 0.00, 0.00, 0.00, 0.00, 0.00, 0.00, 0.00, 0.00], </t>
  </si>
  <si>
    <t xml:space="preserve">["V18", "V18", "VEDAPRES 002 - UC (2,10MT/BARRA) BCE.", "Barra", 5.25, 5, 5.99, 5.5, 6.26, 5.75, "Florencio Rivero - cbba -  -  - santa puej -  - ", 0.00, 0.00, 0.00, 0.00, 0.00, 0.00, 0.00, 0.00], </t>
  </si>
  <si>
    <t xml:space="preserve">["V19", "V19", "VEDAPRES 003 - H (2,10MT/BARRA) BCE.", "Barra", 5.25, 5, 5.99, 5.5, 6.26, 5.75, "Florencio Rivero - cbba -  -  - santa puej -  - ", 0.00, 0.00, 0.00, 0.00, 0.00, 0.00, 0.00, 0.00], </t>
  </si>
  <si>
    <t xml:space="preserve">["V20", "V20", "FRENO HIDRÁULICO DORMA", "Pza.", 89.25, 85, 101.69, 93.5, 106.31, 97.75, "Florencio Rivero - cbba -  -  - santa puej -  - ", 0.00, 0.00, 0.00, 0.00, 0.00, 0.00, 0.00, 0.00], </t>
  </si>
  <si>
    <t xml:space="preserve">["V21", "V21", "FRENO HIDRÁULICO HYH", "Pza.", 70, 70, 79.75, 77, 83.38, 80.5, "Cristembo La Paz - cbba -  -  - santa puej -  - ", 0.00, 0.00, 0.00, 0.00, 0.00, 0.00, 0.00, 0.00], </t>
  </si>
  <si>
    <t xml:space="preserve">["V22", "V22", "MANIJONES DE VIDRIO", "Pza.", 3, 3, 3.42, 3.3, 3.58, 3.45, "Revibol - cbba -  -  - santa puej -  - ", 0.00, 0.00, 0.00, 0.00, 0.00, 0.00, 0.00, 0.00], </t>
  </si>
  <si>
    <t xml:space="preserve">["V23", "V23", "1003 ( CROMADO Ó BRONCE VIEJO )", "Pza.", 2.55, 2.55, 2.91, 2.81, 3.04, 2.94, "Alvicruz + 0.15 transp - cbba -  - 2.4 - santa puej - puestos S.C. - ", 0.00, 0.00, 0.00, 0.00, 0.00, 0.00, 0.00, 0.00], </t>
  </si>
  <si>
    <t xml:space="preserve">["V24", "V24", "1013 ( CROMADO Ó BRONCE VIEJO )", "Pza.", 3.15, 3.15, 3.59, 3.47, 3.76, 3.63, "Alvicruz + 0.15 transp - cbba -  - 3 - santa puej - puestos S.C. - ", 0.00, 0.00, 0.00, 0.00, 0.00, 0.00, 0.00, 0.00], </t>
  </si>
  <si>
    <t xml:space="preserve">["V25", "V25", "1038 ( CROMADO Ó BRONCE VIEJO )", "Pza.", 1.15, 1.15, 1.32, 1.27, 1.37, 1.33, "Alvicruz + 0.15 transp - cbba -  - 1 - santa puej - puestos S.C. - ", 0.00, 0.00, 0.00, 0.00, 0.00, 0.00, 0.00, 0.00], </t>
  </si>
  <si>
    <t xml:space="preserve">["V26", "V26", "1038-C ( CROMADO Ó BRONCE VIEJO )", "Pza.", 1.15, 1.15, 1.32, 1.27, 1.37, 1.33, "Alvicruz + 0.15 transp - cbba -  - 1 - santa puej - puestos S.C. - ", 0.00, 0.00, 0.00, 0.00, 0.00, 0.00, 0.00, 0.00], </t>
  </si>
  <si>
    <t xml:space="preserve">["V27", "V27", "1101 ( CROMADO Ó BRONCE VIEJO )", "Pza.", 7.65, 7.65, 8.72, 8.42, 9.12, 8.8, "Alvicruz + 0.15 transp - cbba -  - 7.5 - santa puej - puestos S.C. - ", 0.00, 0.00, 0.00, 0.00, 0.00, 0.00, 0.00, 0.00], </t>
  </si>
  <si>
    <t xml:space="preserve">["V28", "V28", "1103 ( CROMADO Ó BRONCE VIEJO )", "Pza.", 8.65, 8.65, 9.86, 9.52, 10.31, 9.95, "Alvicruz + 0.15 transp - cbba -  - 8.5 - santa puej - puestos S.C. - ", 0.00, 0.00, 0.00, 0.00, 0.00, 0.00, 0.00, 0.00], </t>
  </si>
  <si>
    <t xml:space="preserve">["V29", "V29", "1114 ( CROMADO Ó BRONCE VIEJO )", "Pza.", 6.95, 6.95, 7.92, 7.65, 8.28, 8, "Alvicruz + 0.15 transp - cbba -  - 6.8 - santa puej - puestos S.C. - ", 0.00, 0.00, 0.00, 0.00, 0.00, 0.00, 0.00, 0.00], </t>
  </si>
  <si>
    <t xml:space="preserve">["V30", "V30", "1115 ( CROMADO Ó BRONCE VIEJO )", "Pza.", 6.95, 6.95, 7.92, 7.65, 8.28, 8, "Alvicruz + 0.15 transp - cbba -  - 6.8 - santa puej - puestos S.C. - ", 0.00, 0.00, 0.00, 0.00, 0.00, 0.00, 0.00, 0.00], </t>
  </si>
  <si>
    <t xml:space="preserve">["V31", "V31", "1117 ( CROMADO Ó BRONCE VIEJO )", "Pza.", 21.15, 21.15, 24.1, 23.27, 25.2, 24.33, "Alvicruz + 0.15 transp - cbba -  - 21 - santa puej - puestos S.C. - ", 0.00, 0.00, 0.00, 0.00, 0.00, 0.00, 0.00, 0.00], </t>
  </si>
  <si>
    <t xml:space="preserve">["V32", "V32", "1123 ( CROMADO Ó BRONCE VIEJO )", "Pza.", 3.65, 3.65, 4.16, 4.02, 4.35, 4.2, "Alvicruz + 0.15 transp - cbba -  - 3.5 - santa puej - puestos S.C. - ", 0.00, 0.00, 0.00, 0.00, 0.00, 0.00, 0.00, 0.00], </t>
  </si>
  <si>
    <t xml:space="preserve">["V33", "V33", "1125 ( CROMADO Ó BRONCE VIEJO )", "Pza.", 0.7, 0.7, 0.8, 0.77, 0.84, 0.81, "Alvicruz + 0.15 transp - cbba -  - 0.55 - santa puej - puestos S.C. - ", 0.00, 0.00, 0.00, 0.00, 0.00, 0.00, 0.00, 0.00], </t>
  </si>
  <si>
    <t xml:space="preserve">["V34", "V34", "1125-A ( CROMADO Ó BRONCE VIEJO )", "Pza.", 2.35, 2.35, 2.68, 2.59, 2.8, 2.71, "Alvicruz + 0.15 transp - cbba -  - 2.2 - santa puej - puestos S.C. - ", 0.00, 0.00, 0.00, 0.00, 0.00, 0.00, 0.00, 0.00], </t>
  </si>
  <si>
    <t xml:space="preserve">["V35", "V35", "1201 ( CROMADO Ó BRONCE VIEJO )", "Pza.", 1.55, 1.55, 1.77, 1.71, 1.85, 1.79, "Alvicruz + 0.15 transp - cbba -  - 1.4 - santa puej - puestos S.C. - ", 0.00, 0.00, 0.00, 0.00, 0.00, 0.00, 0.00, 0.00], </t>
  </si>
  <si>
    <t xml:space="preserve">["V36", "V36", "1203 ( CROMADO Ó BRONCE VIEJO )", "Pza.", 9.15, 9.15, 10.43, 10.07, 10.9, 10.53, "Alvicruz + 0.15 transp - cbba -  - 9 - santa puej - puestos S.C. - ", 0.00, 0.00, 0.00, 0.00, 0.00, 0.00, 0.00, 0.00], </t>
  </si>
  <si>
    <t xml:space="preserve">["V37", "V37", "1209 ( CROMADO Ó BRONCE VIEJO )", "Pza.", 11.15, 11.15, 12.71, 12.27, 13.29, 12.83, "Alvicruz + 0.15 transp - cbba -  - 11 - santa puej - puestos S.C. - ", 0.00, 0.00, 0.00, 0.00, 0.00, 0.00, 0.00, 0.00], </t>
  </si>
  <si>
    <t xml:space="preserve">["V38", "V38", "1230 ( CROMADO Ó BRONCE VIEJO )", "Pza.", 2.95, 2.95, 3.37, 3.25, 3.52, 3.4, "Alvicruz + 0.15 transp - cbba -  - 2.8 - santa puej - puestos S.C. - ", 0.00, 0.00, 0.00, 0.00, 0.00, 0.00, 0.00, 0.00], </t>
  </si>
  <si>
    <t xml:space="preserve">["V39", "V39", "1302 ( CROMADO Ó BRONCE VIEJO )", "Pza.", 3.65, 3.65, 4.16, 4.02, 4.35, 4.2, "Alvicruz + 0.15 transp - cbba -  - 3.5 - santa puej - puestos S.C. - ", 0.00, 0.00, 0.00, 0.00, 0.00, 0.00, 0.00, 0.00], </t>
  </si>
  <si>
    <t xml:space="preserve">["V40", "V40", "1306 ( CROMADO Ó BRONCE VIEJO )", "Pza.", 5.65, 5.65, 6.44, 6.22, 6.73, 6.5, "Alvicruz + 0.15 transp - cbba -  - 5.5 - santa puej - puestos S.C. - ", 0.00, 0.00, 0.00, 0.00, 0.00, 0.00, 0.00, 0.00], </t>
  </si>
  <si>
    <t xml:space="preserve">["V41", "V41", "1310 ( CROMADO Ó BRONCE VIEJO )", "Pza.", 7.15, 7.15, 8.15, 7.87, 8.52, 8.23, "Alvicruz + 0.15 transp - cbba -  - 7 - santa puej - puestos S.C. - ", 0.00, 0.00, 0.00, 0.00, 0.00, 0.00, 0.00, 0.00], </t>
  </si>
  <si>
    <t xml:space="preserve">["V42", "V42", "1316 ( CROMADO Ó BRONCE VIEJO )", "Pza.", 8.95, 8.95, 10.2, 9.85, 10.67, 10.3, "Alvicruz + 0.15 transp - cbba -  - 8.8 - santa puej - puestos S.C. - ", 0.00, 0.00, 0.00, 0.00, 0.00, 0.00, 0.00, 0.00], </t>
  </si>
  <si>
    <t xml:space="preserve">["V43", "V43", "1319 ( CROMADO Ó BRONCE VIEJO )", "Pza.", 20.15, 20.15, 22.96, 22.17, 24.01, 23.18, "Alvicruz + 0.15 transp - cbba -  - 20 - santa puej - puestos S.C. - ", 0.00, 0.00, 0.00, 0.00, 0.00, 0.00, 0.00, 0.00], </t>
  </si>
  <si>
    <t xml:space="preserve">["V44", "V44", "1329 ( CROMADO Ó BRONCE VIEJO )", "Pza.", 3.65, 3.65, 4.16, 4.02, 4.35, 4.2, "Alvicruz + 0.15 transp - cbba -  - 3.5 - santa puej - puestos S.C. - ", 0.00, 0.00, 0.00, 0.00, 0.00, 0.00, 0.00, 0.00], </t>
  </si>
  <si>
    <t xml:space="preserve">["V45", "V45", "1335 ( CROMADO Ó BRONCE VIEJO )", "Pza.", 5.15, 5.15, 5.87, 5.67, 6.14, 5.93, "Alvicruz + 0.15 transp - cbba -  - 5 - santa puej - puestos S.C. - ", 0.00, 0.00, 0.00, 0.00, 0.00, 0.00, 0.00, 0.00], </t>
  </si>
  <si>
    <t xml:space="preserve">["V46", "V46", "1335-C ( CROMADO Ó BRONCE VIEJO )", "Pza.", 4.65, 4.65, 5.3, 5.12, 5.54, 5.35, "Alvicruz + 0.15 transp - cbba -  - 4.5 - santa puej - puestos S.C. - ", 0.00, 0.00, 0.00, 0.00, 0.00, 0.00, 0.00, 0.00], </t>
  </si>
  <si>
    <t xml:space="preserve">["V47", "V47", "1504 ( CROMADO Ó BRONCE VIEJO )", "Pza.", 1.95, 1.95, 2.23, 2.15, 2.33, 2.25, "Alvicruz + 0.15 transp - cbba -  - 1.8 - santa puej - puestos S.C. - ", 0.00, 0.00, 0.00, 0.00, 0.00, 0.00, 0.00, 0.00], </t>
  </si>
  <si>
    <t xml:space="preserve">["V48", "V48", "1510 ( CROMADO Ó BRONCE VIEJO )", "Pza.", 18.15, 18.15, 20.68, 19.97, 21.62, 20.88, "Alvicruz + 0.15 transp - cbba -  - 18 - santa puej - puestos S.C. - ", 0.00, 0.00, 0.00, 0.00, 0.00, 0.00, 0.00, 0.00], </t>
  </si>
  <si>
    <t xml:space="preserve">["V49", "V49", "1511 ( CROMADO Ó BRONCE VIEJO )", "Pza.", 9.65, 9.65, 11, 10.62, 11.5, 11.1, "Alvicruz + 0.15 transp - cbba -  - 9.5 - santa puej - puestos S.C. - ", 0.00, 0.00, 0.00, 0.00, 0.00, 0.00, 0.00, 0.00], </t>
  </si>
  <si>
    <t xml:space="preserve">["V50", "V50", "1511-A ( CROMADO Ó BRONCE VIEJO )", "Pza.", 2.15, 2.15, 2.45, 2.37, 2.57, 2.48, "Alvicruz + 0.15 transp - cbba -  - 2 - santa puej - puestos S.C. - ", 0.00, 0.00, 0.00, 0.00, 0.00, 0.00, 0.00, 0.00], </t>
  </si>
  <si>
    <t xml:space="preserve">["V51", "V51", "1520 ( CROMADO Ó BRONCE VIEJO )", "Pza.", 14.15, 14.15, 16.13, 15.57, 16.86, 16.28, "Alvicruz + 0.15 transp - cbba -  - 14 - santa puej - puestos S.C. - ", 0.00, 0.00, 0.00, 0.00, 0.00, 0.00, 0.00, 0.00], </t>
  </si>
  <si>
    <t xml:space="preserve">["V52", "V52", "1523 ( CROMADO Ó BRONCE VIEJO )", "Pza.", 6.15, 6.15, 7.01, 6.77, 7.33, 7.08, "Alvicruz + 0.15 transp - cbba -  - 6 - santa puej - puestos S.C. - ", 0.00, 0.00, 0.00, 0.00, 0.00, 0.00, 0.00, 0.00], </t>
  </si>
  <si>
    <t xml:space="preserve">["V53", "V53", "1531 ( CROMADO Ó BRONCE VIEJO )", "Pza.", 6.15, 6.15, 7.01, 6.77, 7.33, 7.08, "Alvicruz + 0.15 transp - cbba -  - 6 - santa puej - puestos S.C. - ", 0.00, 0.00, 0.00, 0.00, 0.00, 0.00, 0.00, 0.00], </t>
  </si>
  <si>
    <t xml:space="preserve">["V54", "V54", "1629-J ( CROMADO Ó BRONCE VIEJO )", "Pza.", 2.15, 2.15, 2.45, 2.37, 2.57, 2.48, "Alvicruz + 0.15 transp - cbba -  - 2 - santa puej - puestos S.C. - ", 0.00, 0.00, 0.00, 0.00, 0.00, 0.00, 0.00, 0.00], </t>
  </si>
  <si>
    <t xml:space="preserve">["V55", "V55", "1629-P ( CROMADO Ó BRONCE VIEJO )", "Pza.", 2.35, 2.35, 2.68, 2.59, 2.8, 2.71, "Alvicruz + 0.15 transp - cbba -  - 2.2 - santa puej - puestos S.C. - ", 0.00, 0.00, 0.00, 0.00, 0.00, 0.00, 0.00, 0.00], </t>
  </si>
  <si>
    <t xml:space="preserve">["V56", "V56", "1636-AL ( CROMADO Ó BRONCE VIEJO )", "Pza.", 3.35, 3.35, 3.82, 3.69, 4, 3.86, "Alvicruz + 0.15 transp - cbba -  - 3.2 - santa puej - puestos S.C. - ", 0.00, 0.00, 0.00, 0.00, 0.00, 0.00, 0.00, 0.00], </t>
  </si>
  <si>
    <t xml:space="preserve">["V57", "V57", "1800 ( CROMADO Ó BRONCE VIEJO )", "Pza.", 6.35, 6.35, 7.24, 6.99, 7.57, 7.31, "Alvicruz + 0.15 transp - cbba -  - 6.2 - santa puej - puestos S.C. - ", 0.00, 0.00, 0.00, 0.00, 0.00, 0.00, 0.00, 0.00], </t>
  </si>
  <si>
    <t xml:space="preserve">["V58", "V58", "1800-C ( CROMADO Ó BRONCE VIEJO )", "Pza.", 7.15, 7.15, 8.15, 7.87, 8.52, 8.23, "Alvicruz + 0.15 transp - cbba -  - 7 - santa puej - puestos S.C. - ", 0.00, 0.00, 0.00, 0.00, 0.00, 0.00, 0.00, 0.00], </t>
  </si>
  <si>
    <t xml:space="preserve">["V59", "V59", "MANO DE OBRA INSTALACIÒN TEMPLADO", "Mt²", 10, 10, 11.4, 11, 11.92, 11.5, "Hilarion -  8 col.+dis. + 2 tec - cbba -  - 8 - santa puej - Sus/mt2 - ", 0.00, 0.00, 0.00, 0.00, 0.00, 0.00, 0.00, 0.00], </t>
  </si>
  <si>
    <t xml:space="preserve">["V60", "V60", "HERRAJE ARANA", "Pza.", 60, 60, 68.36, 66, 71.47, 69, "ALVICRUZ - cbba -  -  - santa puej -  - ", 0.00, 0.00, 0.00, 0.00, 0.00, 0.00, 0.00, 0.00], </t>
  </si>
  <si>
    <t xml:space="preserve">["V61", "V61", "SOPORTE HERRAJE - TUBO", "Pza.", 20, 19.2, 22.79, 21.12, 23.83, 22.08, "8D La Paz - cbba -  -  - santa puej -  - ", 0.00, 0.00, 0.00, 0.00, 0.00, 0.00, 0.00, 0.00], </t>
  </si>
  <si>
    <t xml:space="preserve">["V62", "V62", "1318 ( CROMADO Ó BRONCE VIEJO )", "Pza.", 14.6, 14.6, 16.64, 16.06, 17.39, 16.79, "Alvicruz + 0.15 transp - cbba -  - 14.5 - santa puej - puestos S.C. - ", 0.00, 0.00, 0.00, 0.00, 0.00, 0.00, 0.00, 0.00], </t>
  </si>
  <si>
    <t xml:space="preserve">["V63", "V63", "OTRO", "Pza.", 0, 0, 0, 0, 0, 0, "8D La Paz - cbba -  -  - santa puej -  - ", 0.00, 0.00, 0.00, 0.00, 0.00, 0.00, 0.00, 0.00], </t>
  </si>
  <si>
    <t xml:space="preserve">["V64", "V64", "OTRO", "Pza.", 0, 0, 0, 0, 0, 0, "8D La Paz - cbba -  -  - santa puej -  - ", 0.00, 0.00, 0.00, 0.00, 0.00, 0.00, 0.00, 0.00], </t>
  </si>
  <si>
    <t xml:space="preserve">["V65", "V65", "OTRO", "Pza.", 0, 0, 0, 0, 0, 0, "8D La Paz - cbba -  -  - santa puej -  - ", 0.00, 0.00, 0.00, 0.00, 0.00, 0.00, 0.00, 0.00], </t>
  </si>
  <si>
    <t xml:space="preserve">["V66", "V66", "OTRO", "Pza.", 0, 0, 0, 0, 0, 0, "8D La Paz - cbba -  -  - santa puej -  - ", 0.00, 0.00, 0.00, 0.00, 0.00, 0.00, 0.00, 0.00], </t>
  </si>
  <si>
    <t xml:space="preserve">["V67", "V67", "OTRO", "Pza.", 0, 0, 0, 0, 0, 0, "8D La Paz - cbba -  -  - santa puej -  - ", 0.00, 0.00, 0.00, 0.00, 0.00, 0.00, 0.00, 0.00], </t>
  </si>
  <si>
    <t xml:space="preserve">["V68", "V68", "OTRO", "Pza.", 0, 0, 0, 0, 0, 0, "8D La Paz - cbba -  -  - santa puej -  - ", 0.00, 0.00, 0.00, 0.00, 0.00, 0.00, 0.00, 0.00], </t>
  </si>
  <si>
    <t xml:space="preserve">["V69", "V69", "OTRO", "Pza.", 0, 0, 0, 0, 0, 0, "8D La Paz - cbba -  -  - santa puej -  - ", 0.00, 0.00, 0.00, 0.00, 0.00, 0.00, 0.00, 0.00], </t>
  </si>
  <si>
    <t xml:space="preserve">["V70", "V70", "OTRO", "Pza.", 0, 0, 0, 0, 0, 0, "8D La Paz - cbba -  -  - santa puej -  - ", 0.00, 0.00, 0.00, 0.00, 0.00, 0.00, 0.00, 0.00], </t>
  </si>
  <si>
    <t xml:space="preserve">["V71", "V71", "OTRO", "Pza.", 0, 0, 0, 0, 0, 0, "8D La Paz - cbba -  -  - santa puej -  - ", 0.00, 0.00, 0.00, 0.00, 0.00, 0.00, 0.00, 0.00], </t>
  </si>
  <si>
    <t xml:space="preserve">["A1", "A1", "ALUMINIO ANODIZADO BRONCE O CHAMPAGNE", "Kgr.", 7.74, 7.43, 8.82, 8.18, 9.22, 8.55, "Alcoa 6.73 + 15% - cbba -  -  - santa puej -  - ", 0.00, 0.00, 0.00, 0.00, 0.00, 0.00, 0.00, 0.00], </t>
  </si>
  <si>
    <t xml:space="preserve">["A2", "A2", "ALUMINIO ANODIZADO NATURAL", "Kgr.", 7.74, 7.43, 8.82, 8.18, 9.22, 8.55, "Alcoa 6.73 + 15% - cbba -  -  - santa puej -  - ", 0.00, 0.00, 0.00, 0.00, 0.00, 0.00, 0.00, 0.00], </t>
  </si>
  <si>
    <t xml:space="preserve">["A3", "A3", "VIDRIO INCOLORORO 3MM", "Mt²", 8.84, 8.84, 10.07, 9.72, 10.53, 10.17, "Oriental 7.68 + 15% - cbba -  -  - santa puej -  - ", 0.00, 0.00, 0.00, 0.00, 0.00, 0.00, 0.00, 0.00], </t>
  </si>
  <si>
    <t xml:space="preserve">["A4", "A4", "VIDRIO INCOLORORO 4MM", "Mt²", 10.91, 10.91, 12.43, 12, 13, 12.55, "Oriental 9.48 + 15% - cbba -  -  - santa puej - 9.47449823569479 - ", 0.00, 0.00, 0.00, 0.00, 0.00, 0.00, 0.00, 0.00], </t>
  </si>
  <si>
    <t xml:space="preserve">["A5", "A5", "VIDRIO INCOLORORO 5MM", "Mt²", 12.38, 12.38, 14.1, 13.62, 14.75, 14.24, "Oriental 10.76 + 15% - cbba -  -  - santa puej - 10.754835835113 - ", 0.00, 0.00, 0.00, 0.00, 0.00, 0.00, 0.00, 0.00], </t>
  </si>
  <si>
    <t xml:space="preserve">["A6", "A6", "VIDRIO INCOLORORO 6MM", "Mt²", 16.45, 16.45, 18.74, 18.09, 19.6, 18.92, "Oriental 14.30 + 15% - cbba -  -  - santa puej - 14.0837135936004 - ", 0.00, 0.00, 0.00, 0.00, 0.00, 0.00, 0.00, 0.00], </t>
  </si>
  <si>
    <t xml:space="preserve">["A7", "A7", "VIDRIO COLOR 3MM", "Mt²", 11.61, 11.61, 13.22, 12.77, 13.83, 13.36, "Garcia 10.09 + 15% - cbba -  -  - santa puej -  - ", 0.00, 0.00, 0.00, 0.00, 0.00, 0.00, 0.00, 0.00], </t>
  </si>
  <si>
    <t xml:space="preserve">["A8", "A8", "VIDRIO COLOR 4MM", "Mt²", 12.75, 12.75, 14.52, 14.02, 15.19, 14.67, "Oriental 11.08 + 15% - cbba -  -  - santa puej -  - ", 0.00, 0.00, 0.00, 0.00, 0.00, 0.00, 0.00, 0.00], </t>
  </si>
  <si>
    <t xml:space="preserve">["A9", "A9", "VIDRIO COLOR 5MM", "Mt²", 16.48, 16.48, 18.78, 18.13, 19.63, 18.96, "Garcia 14.33 + 15% - cbba -  -  - santa puej -  - ", 0.00, 0.00, 0.00, 0.00, 0.00, 0.00, 0.00, 0.00], </t>
  </si>
  <si>
    <t xml:space="preserve">["A10", "A10", "VIDRIO COLOR 6MM", "Mt²", 19.15, 19.15, 21.82, 21.07, 22.81, 22.03, "Oriental 16.65 + 15% - cbba -  -  - santa puej -  - ", 0.00, 0.00, 0.00, 0.00, 0.00, 0.00, 0.00, 0.00], </t>
  </si>
  <si>
    <t xml:space="preserve">["A11", "A11", "VIDRIO CATEDRAL CLARO", "Mt²", 6.33, 6.08, 7.21, 6.68, 7.54, 7, "Revibol - 5.55  + 15% - cbba -  -  - santa puej -  - ", 0.00, 0.00, 0.00, 0.00, 0.00, 0.00, 0.00, 0.00], </t>
  </si>
  <si>
    <t xml:space="preserve">["A12", "A12", "VIDRIO CATEDRAL COLOR", "Mt²", 8.24, 7.91, 9.39, 8.7, 9.82, 9.1, "Revibol - 7.16 + 15% - cbba -  -  - santa puej -  - ", 0.00, 0.00, 0.00, 0.00, 0.00, 0.00, 0.00, 0.00], </t>
  </si>
  <si>
    <t xml:space="preserve">["A13", "A13", "VIDRIO REFLECTIVO BRONCE O GRIS 4MM", "Mt²", 27.6, 26.5, 31.45, 29.15, 32.88, 30.48, "Garcia 24 + 15% - cbba -  -  - santa puej -  - ", 0.00, 0.00, 0.00, 0.00, 0.00, 0.00, 0.00, 0.00], </t>
  </si>
  <si>
    <t xml:space="preserve">["A14", "A14", "VIDRIO REFLECTIVO BRONCE O GRIS 5MM", "Mt²", 27.6, 26.5, 31.45, 29.15, 32.88, 30.48, "Garcia 24 + 15% - cbba -  -  - santa puej -  - ", 0.00, 0.00, 0.00, 0.00, 0.00, 0.00, 0.00, 0.00], </t>
  </si>
  <si>
    <t xml:space="preserve">["A15", "A15", "VIDRIO REFLECTIVO BRONCE O GRIS 6MM", "Mt²", 34, 33, 38.74, 36.3, 40.5, 37.95, " - cbba -  -  - santa puej -  - ", 0.00, 0.00, 0.00, 0.00, 0.00, 0.00, 0.00, 0.00], </t>
  </si>
  <si>
    <t xml:space="preserve">["A16", "A16", "VIDRIO REFLECTIVO AZURLITE 4MM", "Mt²", 37, 36, 42.16, 39.6, 44.07, 41.4, " - cbba -  -  - santa puej -  - ", 0.00, 0.00, 0.00, 0.00, 0.00, 0.00, 0.00, 0.00], </t>
  </si>
  <si>
    <t xml:space="preserve">["A17", "A17", "VIDRIO REFLECTIVO AZURLITE 5MM", "Mt²", 39, 38, 44.44, 41.8, 46.46, 43.7, " - cbba -  -  - santa puej -  - ", 0.00, 0.00, 0.00, 0.00, 0.00, 0.00, 0.00, 0.00], </t>
  </si>
  <si>
    <t xml:space="preserve">["A18", "A18", "VIDRIO REFLECTIVO AZURLITE 6MM", "Mt²", 42.55, 40.85, 48.48, 44.94, 50.69, 46.98, "Garcia 37 + 15% - cbba -  -  - santa puej -  - ", 0.00, 0.00, 0.00, 0.00, 0.00, 0.00, 0.00, 0.00], </t>
  </si>
  <si>
    <t xml:space="preserve">["A19", "A19", "CINTA DOB.CONT. 4972 - 3M 1/2 Pulg.=12MM (ROLLO DE 20)", "Rollo", 26.2, 24.89, 29.85, 27.38, 31.21, 28.63, "America home center - cbba -  -  - santa puej -  - ", 0.00, 0.00, 0.00, 0.00, 0.00, 0.00, 0.00, 0.00], </t>
  </si>
  <si>
    <t xml:space="preserve">["A20", "A20", "CINTA DOB.CONT. 4972 - 3M 3/4 Pulg.=19MM (ROLLO DE 20)", "Rollo", 42, 39.9, 47.85, 43.89, 50.03, 45.89, "America home center - cbba -  -  - santa puej -  - ", 0.00, 0.00, 0.00, 0.00, 0.00, 0.00, 0.00, 0.00], </t>
  </si>
  <si>
    <t xml:space="preserve">["A21", "A21", "CINTA DOB.CONT. 4972 - 3M 1 Pulg.=25MM (ROLLO DE 20)", "Rollo", 65, 61.75, 74.06, 67.93, 77.42, 71.02, "America home center - cbba -  -  - santa puej -  - ", 0.00, 0.00, 0.00, 0.00, 0.00, 0.00, 0.00, 0.00], </t>
  </si>
  <si>
    <t xml:space="preserve">["A22", "A22", "FELPA", "Mt lineal", 0.12, 0.12, 0.14, 0.14, 0.15, 0.14, "Indalum - cbba -  -  - santa puej -  - ", 0.00, 0.00, 0.00, 0.00, 0.00, 0.00, 0.00, 0.00], </t>
  </si>
  <si>
    <t xml:space="preserve">["A23", "A23", "BURLETE", "Mt lineal", 0.3, 0.3, 0.35, 0.33, 0.36, 0.35, "Indalum - cbba -  -  - santa puej -  - ", 0.00, 0.00, 0.00, 0.00, 0.00, 0.00, 0.00, 0.00], </t>
  </si>
  <si>
    <t xml:space="preserve">["A24", "A24", "PATIN SERIE 25", "Pza.", 1.2, 1.2, 1.37, 1.32, 1.43, 1.38, "Indalum - cbba -  -  - santa puej -  - ", 0.00, 0.00, 0.00, 0.00, 0.00, 0.00, 0.00, 0.00], </t>
  </si>
  <si>
    <t xml:space="preserve">["A25", "A25", "PATIN SERIE 20", "Pza.", 0.5, 0.5, 0.57, 0.55, 0.6, 0.58, "Indalum - cbba -  -  - santa puej -  - ", 0.00, 0.00, 0.00, 0.00, 0.00, 0.00, 0.00, 0.00], </t>
  </si>
  <si>
    <t xml:space="preserve">["A26", "A26", "PATIN SERIE 50", "Pza.", 0.4, 0.4, 0.46, 0.44, 0.48, 0.46, "Indalum - cbba -  -  - santa puej -  - ", 0.00, 0.00, 0.00, 0.00, 0.00, 0.00, 0.00, 0.00], </t>
  </si>
  <si>
    <t xml:space="preserve">["A27", "A27", "PATIN SERIE 4000", "Pza.", 0.4, 0.4, 0.46, 0.44, 0.48, 0.46, "Indalum - cbba -  -  - santa puej -  - ", 0.00, 0.00, 0.00, 0.00, 0.00, 0.00, 0.00, 0.00], </t>
  </si>
  <si>
    <t xml:space="preserve">["A28", "A28", "PATIN SHOWER DOOR", "Pza.", 0.5, 0.5, 0.57, 0.55, 0.6, 0.58, "Indalum - cbba -  -  - santa puej -  - ", 0.00, 0.00, 0.00, 0.00, 0.00, 0.00, 0.00, 0.00], </t>
  </si>
  <si>
    <t xml:space="preserve">["A29", "A29", "CIERRE SERIE 20", "Pza.", 1.6, 1.6, 1.83, 1.76, 1.91, 1.84, "Indalum - cbba -  -  - santa puej -  - ", 0.00, 0.00, 0.00, 0.00, 0.00, 0.00, 0.00, 0.00], </t>
  </si>
  <si>
    <t xml:space="preserve">["A30", "A30", "CIERRE SERIE 25", "Pza.", 3, 3, 3.42, 3.3, 3.58, 3.45, "Indalum - cbba -  -  - santa puej -  - ", 0.00, 0.00, 0.00, 0.00, 0.00, 0.00, 0.00, 0.00], </t>
  </si>
  <si>
    <t xml:space="preserve">["A31", "A31", "GUIA EXTERIOR SHOWER DOOR", "Pza.", 0.1, 0.1, 0.12, 0.11, 0.12, 0.12, "Indalum - cbba -  -  - santa puej -  - ", 0.00, 0.00, 0.00, 0.00, 0.00, 0.00, 0.00, 0.00], </t>
  </si>
  <si>
    <t xml:space="preserve">["A32", "A32", "GUIA SERIE 50", "Pza.", 0.1, 0.1, 0.12, 0.11, 0.12, 0.12, "Indalum - cbba -  -  - santa puej -  - ", 0.00, 0.00, 0.00, 0.00, 0.00, 0.00, 0.00, 0.00], </t>
  </si>
  <si>
    <t xml:space="preserve">["A33", "A33", "GUIA SERIE 20", "Pza.", 0.1, 0.1, 0.12, 0.11, 0.12, 0.12, "Indalum - cbba -  -  - santa puej -  - ", 0.00, 0.00, 0.00, 0.00, 0.00, 0.00, 0.00, 0.00], </t>
  </si>
  <si>
    <t xml:space="preserve">["A34", "A34", "GUIA SERIE 25", "Pza.", 0.1, 0.1, 0.12, 0.11, 0.12, 0.12, "Indalum - cbba -  -  - santa puej -  - ", 0.00, 0.00, 0.00, 0.00, 0.00, 0.00, 0.00, 0.00], </t>
  </si>
  <si>
    <t xml:space="preserve">["A35", "A35", "CELOSIAS 2 ALETAS - 320 MM.", "Par", 13.39, 13, 15.26, 14.3, 15.95, 14.95, "Florencio Rivero - cbba -  -  - santa puej -  - ", 0.00, 0.00, 0.00, 0.00, 0.00, 0.00, 0.00, 0.00], </t>
  </si>
  <si>
    <t xml:space="preserve">["A36", "A36", "CELOSIAS 3 ALETAS - 460 MM.", "Par", 17.51, 17, 19.95, 18.7, 20.86, 19.55, "Florencio Rivero - cbba -  -  - santa puej -  - ", 0.00, 0.00, 0.00, 0.00, 0.00, 0.00, 0.00, 0.00], </t>
  </si>
  <si>
    <t xml:space="preserve">["A37", "A37", "CELOSIAS 4 ALETAS - 600 MM.", "Par", 19.57, 19, 22.3, 20.9, 23.31, 21.85, "Florencio Rivero - cbba -  -  - santa puej -  - ", 0.00, 0.00, 0.00, 0.00, 0.00, 0.00, 0.00, 0.00], </t>
  </si>
  <si>
    <t xml:space="preserve">["A38", "A38", "CELOSIAS 5 ALETAS - 740MM.", "Par", 24.72, 24, 28.17, 26.4, 29.45, 27.6, "Florencio Rivero - cbba -  -  - santa puej -  - ", 0.00, 0.00, 0.00, 0.00, 0.00, 0.00, 0.00, 0.00], </t>
  </si>
  <si>
    <t xml:space="preserve">["A39", "A39", "CELOSIAS 6 ALETAS - 880 MM.", "Par", 26.78, 26, 30.52, 28.6, 31.9, 29.9, "Florencio Rivero - cbba -  -  - santa puej -  - ", 0.00, 0.00, 0.00, 0.00, 0.00, 0.00, 0.00, 0.00], </t>
  </si>
  <si>
    <t xml:space="preserve">["A40", "A40", "CELOSIAS 7 ALETAS - 1000 MM.", "Par", 33.99, 33, 38.73, 36.3, 40.49, 37.95, "Florencio Rivero - cbba -  -  - santa puej -  - ", 0.00, 0.00, 0.00, 0.00, 0.00, 0.00, 0.00, 0.00], </t>
  </si>
  <si>
    <t xml:space="preserve">["A41", "A41", "CELOSIAS 8 ALETAS - 1160 MM.", "Par", 38.11, 37, 43.42, 40.7, 45.4, 42.55, "Florencio Rivero - cbba -  -  - santa puej -  - ", 0.00, 0.00, 0.00, 0.00, 0.00, 0.00, 0.00, 0.00], </t>
  </si>
  <si>
    <t xml:space="preserve">["A42", "A42", "CELOSIAS 9 ALETAS - 1300 MM.", "Par", 46.35, 45, 52.81, 49.5, 55.21, 51.75, "Florencio Rivero - cbba -  -  - santa puej -  - ", 0.00, 0.00, 0.00, 0.00, 0.00, 0.00, 0.00, 0.00], </t>
  </si>
  <si>
    <t xml:space="preserve">["A43", "A43", "BISAGRA SERIE 32 Y 42", "Pza.", 1.8, 1.8, 2.06, 1.98, 2.15, 2.07, "Indalum - cbba -  -  - santa puej -  - ", 0.00, 0.00, 0.00, 0.00, 0.00, 0.00, 0.00, 0.00], </t>
  </si>
  <si>
    <t xml:space="preserve">["A44", "A44", "BISAGRA SERIE 35", "Pza.", 1.5, 1.5, 1.71, 1.65, 1.79, 1.73, "Indalum - cbba -  -  - santa puej -  - ", 0.00, 0.00, 0.00, 0.00, 0.00, 0.00, 0.00, 0.00], </t>
  </si>
  <si>
    <t xml:space="preserve">["A45", "A45", "BISAGRA SERIE 45", "Pza.", 2.5, 2.5, 2.85, 2.75, 2.98, 2.88, "Indalum - cbba -  -  - santa puej -  - ", 0.00, 0.00, 0.00, 0.00, 0.00, 0.00, 0.00, 0.00], </t>
  </si>
  <si>
    <t xml:space="preserve">["A46", "A46", "BRAZO DE APERTURA P/PROYECTANTE 300", "Par", 9.8, 9.8, 11.17, 10.78, 11.68, 11.27, "Indalum - cbba -  -  - santa puej -  - ", 0.00, 0.00, 0.00, 0.00, 0.00, 0.00, 0.00, 0.00], </t>
  </si>
  <si>
    <t xml:space="preserve">["A47", "A47", "BRAZO DE APERTURA P/PROYECTANTE 400", "Par", 15.05, 15.05, 17.15, 16.56, 17.93, 17.31, "Indalum - cbba -  -  - santa puej -  - ", 0.00, 0.00, 0.00, 0.00, 0.00, 0.00, 0.00, 0.00], </t>
  </si>
  <si>
    <t xml:space="preserve">["A48", "A48", "BRAZO DE APERTURA P/PROYECTANTE 500", "Par", 18.5, 18.5, 21.08, 20.35, 22.04, 21.28, "Indalum - cbba -  -  - santa puej -  - ", 0.00, 0.00, 0.00, 0.00, 0.00, 0.00, 0.00, 0.00], </t>
  </si>
  <si>
    <t xml:space="preserve">["A49", "A49", "BRAZO DE APERTURA P/PROYECTANTE 650", "Par", 22.14, 22.14, 25.23, 24.36, 26.38, 25.47, "Indalum - cbba -  -  - santa puej -  - ", 0.00, 0.00, 0.00, 0.00, 0.00, 0.00, 0.00, 0.00], </t>
  </si>
  <si>
    <t xml:space="preserve">["A50", "A50", "BRAZO DE APERTURA P/PROYECTANTE 900", "Par", 27.42, 27.42, 31.24, 30.17, 32.66, 31.54, "Indalum - cbba -  -  - santa puej -  - ", 0.00, 0.00, 0.00, 0.00, 0.00, 0.00, 0.00, 0.00], </t>
  </si>
  <si>
    <t xml:space="preserve">["A51", "A51", "BRAZO DE APERTURA P/PROYECTANTE 1200", "Par", 39.58, 39.58, 45.1, 43.54, 47.15, 45.52, "Indalum - cbba -  -  - santa puej -  - ", 0.00, 0.00, 0.00, 0.00, 0.00, 0.00, 0.00, 0.00], </t>
  </si>
  <si>
    <t xml:space="preserve">["A52", "A52", "MANIJA PARA PROYECTANTE", "Pza.", 3.04, 3.04, 3.47, 3.35, 3.63, 3.5, "Indalum - cbba -  -  - santa puej -  - ", 0.00, 0.00, 0.00, 0.00, 0.00, 0.00, 0.00, 0.00], </t>
  </si>
  <si>
    <t xml:space="preserve">["A53", "A53", "CHAPA P/PUERTA DE ALUMINIO", "Pza.", 21.2, 20, 24.16, 22, 25.26, 23, "Florencio Rivero - cbba -  -  - santa puej -  - ", 0.00, 0.00, 0.00, 0.00, 0.00, 0.00, 0.00, 0.00], </t>
  </si>
  <si>
    <t xml:space="preserve">["A54", "A54", "MANO DE OBRA CARPINTERÌA DE ALUMINIO.", "Mt²", 12.72, 10, 14.5, 11, 15.16, 11.5, "Hilarion ; 7 maestro + 3diseno - cbba -  -  - santa puej -  - ", 0.00, 0.00, 0.00, 0.00, 0.00, 0.00, 0.00, 0.00], </t>
  </si>
  <si>
    <t xml:space="preserve">["A55", "A55", "MANO DE OBRA FACHADAS, TECHOS Y ESPECIALES", "Mt²", 12.72, 12, 14.5, 13.2, 15.16, 13.8, "Hilarion ; 7 maestro + 5diseno - cbba -  -  - santa puej -  - ", 0.00, 0.00, 0.00, 0.00, 0.00, 0.00, 0.00, 0.00], </t>
  </si>
  <si>
    <t xml:space="preserve">["A56", "A56", "MANO DE OBRA COLOCACIÓN ESPEJOS", "Mt²", 12.72, 12, 14.5, 13.2, 15.16, 13.8, "Hilarion  - cbba -  -  - santa puej -  - ", 0.00, 0.00, 0.00, 0.00, 0.00, 0.00, 0.00, 0.00], </t>
  </si>
  <si>
    <t xml:space="preserve">["A57", "A57", "MANO DE OBRA FABRICACIÓN MALLERAS", "Mt²", 12.72, 10, 14.5, 11, 15.16, 11.5, "Hilarion ; 7 maestro + 3diseno - cbba -  -  - santa puej -  - ", 0.00, 0.00, 0.00, 0.00, 0.00, 0.00, 0.00, 0.00], </t>
  </si>
  <si>
    <t xml:space="preserve">["A58", "A58", "MANO DE OBRA COLOCACIÓN CRUDO", "Mt²", 6.36, 6, 7.25, 6.6, 7.58, 6.9, "Hilarion 4 - cbba -  -  - santa puej -  - ", 0.00, 0.00, 0.00, 0.00, 0.00, 0.00, 0.00, 0.00], </t>
  </si>
  <si>
    <t xml:space="preserve">["A59", "A59", "MANO DE OBRA DIVISORES DE AMBIENTE Y CIELOS", "Mt²", 6.36, 6, 7.25, 6.6, 7.58, 6.9, "Hilarion 4 - cbba -  -  - santa puej -  - ", 0.00, 0.00, 0.00, 0.00, 0.00, 0.00, 0.00, 0.00], </t>
  </si>
  <si>
    <t xml:space="preserve">["A60", "A60", "TESADOR PARA PUERTAS 5/16", "Pza.", 4, 4, 4.56, 4.4, 4.77, 4.6, "Perbol - cbba -  -  - santa puej -  - ", 0.00, 0.00, 0.00, 0.00, 0.00, 0.00, 0.00, 0.00], </t>
  </si>
  <si>
    <t xml:space="preserve">["A61", "A61", "MALLA MILIMÉTRICA PLÁSTICA", "Mt²", 3.2, 2.86, 3.65, 3.15, 3.82, 3.29, "Ferretería - 20% - cbba -  -  - santa puej -  - ", 0.00, 0.00, 0.00, 0.00, 0.00, 0.00, 0.00, 0.00], </t>
  </si>
  <si>
    <t xml:space="preserve">["A62", "A62", "BISELADO HASTA 2,7 CM", "Mt lineal", 3, 3, 3.42, 3.3, 3.58, 3.45, "VICOR - cbba -  -  - santa puej -  - ", 0.00, 0.00, 0.00, 0.00, 0.00, 0.00, 0.00, 0.00], </t>
  </si>
  <si>
    <t xml:space="preserve">["A63", "A63", "ESCUADRA DE ARMADO", "Pza.", 0.15, 0.15, 0.18, 0.17, 0.18, 0.18, "Indalum - cbba -  -  - santa puej -  - ", 0.00, 0.00, 0.00, 0.00, 0.00, 0.00, 0.00, 0.00], </t>
  </si>
  <si>
    <t xml:space="preserve">["A64", "A64", "VIDRIO ESPEJO INCOLORO 3MM", "Mt²", 10.8, 9.72, 12.31, 10.69, 12.87, 11.18, "Revibol - 9.15 - 8.38 - 18% - cbba -  -  - santa puej -  - ", 0.00, 0.00, 0.00, 0.00, 0.00, 0.00, 0.00, 0.00], </t>
  </si>
  <si>
    <t xml:space="preserve">["A65", "A65", "VIDRIO ESPEJO INCOLORO 4MM", "Mt²", 12.96, 11.67, 14.77, 12.83, 15.44, 13.43, "Revibol - 10.98 - 9.89 - 18% - cbba -  -  - santa puej -  - ", 0.00, 0.00, 0.00, 0.00, 0.00, 0.00, 0.00, 0.00], </t>
  </si>
  <si>
    <t xml:space="preserve">["A66", "A66", "PULIDO DE VIDRIO A MÁQUINA", "Mt lineal", 1.7, 1.7, 1.94, 1.87, 2.03, 1.96, "Revibol - cbba -  -  - santa puej -  - ", 0.00, 0.00, 0.00, 0.00, 0.00, 0.00, 0.00, 0.00], </t>
  </si>
  <si>
    <t xml:space="preserve">["A67", "A67", "PERFORACIÓN DE VIDRIO", "Hoyo", 5.6, 5.6, 6.38, 6.16, 6.67, 6.44, "Revibol - cbba -  -  - santa puej -  - ", 0.00, 0.00, 0.00, 0.00, 0.00, 0.00, 0.00, 0.00], </t>
  </si>
  <si>
    <t xml:space="preserve">["A68", "A68", "MANO DE OBRA CELOSÍAS", "Pza.", 9.54, 9, 10.87, 9.9, 11.37, 10.35, "Hilarion o Silverio o Octavio 7 - cbba -  -  - santa puej -  - ", 0.00, 0.00, 0.00, 0.00, 0.00, 0.00, 0.00, 0.00], </t>
  </si>
  <si>
    <t xml:space="preserve">["A69", "A69", "JALADOR PARA MALLERA", "Pza.", 2, 1.8, 2.28, 1.98, 2.39, 2.07, " - cbba -  -  - santa puej -  - ", 0.00, 0.00, 0.00, 0.00, 0.00, 0.00, 0.00, 0.00], </t>
  </si>
  <si>
    <t xml:space="preserve">["A70", "A70", "ANCLAJES DE HIERRO (PZAS.)", "Pza.", 12, 12, 13.68, 13.2, 14.3, 13.8, " - cbba -  -  - santa puej -  - ", 0.00, 0.00, 0.00, 0.00, 0.00, 0.00, 0.00, 0.00], </t>
  </si>
  <si>
    <t xml:space="preserve">["A71", "A71", "PERNOS DE EXPANSIÓN (PZAS.)", "Pza.", 3, 3, 3.42, 3.3, 3.58, 3.45, " - cbba -  -  - santa puej -  - ", 0.00, 0.00, 0.00, 0.00, 0.00, 0.00, 0.00, 0.00], </t>
  </si>
  <si>
    <t xml:space="preserve">["A72", "A72", "TORNILLO Y TUERCA DE 2 Pulg. (PZAS.)", "Pza.", 1, 1, 1.14, 1.1, 1.2, 1.15, " - cbba -  -  - santa puej -  - ", 0.00, 0.00, 0.00, 0.00, 0.00, 0.00, 0.00, 0.00], </t>
  </si>
  <si>
    <t xml:space="preserve">["A73", "A73", "MANO DE OBRA BOX DE BANO RECTO", "Mt²", 21.2, 20, 24.16, 22, 25.26, 23, "Box de  bano recto - cbba -  -  - santa puej -  - ", 0.00, 0.00, 0.00, 0.00, 0.00, 0.00, 0.00, 0.00], </t>
  </si>
  <si>
    <t xml:space="preserve">["A74", "A74", "MANO DE OBRA BOX DE BANO CURVO", "Mt²", 31.8, 30, 36.23, 33, 37.88, 34.5, "Box de  bano curvo - cbba -  -  - santa puej -  - ", 0.00, 0.00, 0.00, 0.00, 0.00, 0.00, 0.00, 0.00], </t>
  </si>
  <si>
    <t xml:space="preserve">["A75", "A75", "MANO DE OBRA FACHADA ESTRUCTURAL PEQUE", "Mt²", 15.9, 15, 18.12, 16.5, 18.94, 17.25, "Fachada estructural pequena - cbba -  -  - santa puej -  - ", 0.00, 0.00, 0.00, 0.00, 0.00, 0.00, 0.00, 0.00], </t>
  </si>
  <si>
    <t xml:space="preserve">["A76", "A76", "MANO DE OBRA FACHADA ESTRUCTURAL GRANDE", "Mt²", 21.2, 20, 24.16, 22, 25.26, 23, "Fachada estructural alta - cbba -  -  - santa puej -  - ", 0.00, 0.00, 0.00, 0.00, 0.00, 0.00, 0.00, 0.00], </t>
  </si>
  <si>
    <t xml:space="preserve">["A77", "A77", "MANO DE OBRA CARPINTERIA DE ALUMINIO CON TERMOPANEL", "Mt²", 14.84, 14, 16.91, 15.4, 17.68, 16.1, "Termopanel - cbba -  -  - santa puej -  - ", 0.00, 0.00, 0.00, 0.00, 0.00, 0.00, 0.00, 0.00], </t>
  </si>
  <si>
    <t xml:space="preserve">["A78", "A78", "JALADORES PAR SERIE 25", "Pza.", 7.42, 7, 8.46, 7.7, 8.84, 8.05, " - cbba -  -  - santa puej -  - ", 0.00, 0.00, 0.00, 0.00, 0.00, 0.00, 0.00, 0.00], </t>
  </si>
  <si>
    <t xml:space="preserve">["A79", "A79", "ALUCOBOND - WILSTRONG ", "Mt²", 42.6, 42.6, 48.54, 46.86, 50.74, 48.99, "Tecnopor 35.50 + 20% - cbba -  -  - santa puej -  - ", 0.00, 0.00, 0.00, 0.00, 0.00, 0.00, 0.00, 0.00], </t>
  </si>
  <si>
    <t xml:space="preserve">["A80", "A80", "VIDRIO LAMINADO REFLECTIVO GRIS 4+4MM", "Mt²", 55.9, 55.9, 63.69, 61.49, 66.59, 64.29, "CRIS LP 43 + 30% - cbba -  -  - santa puej -  - ", 0.00, 0.00, 0.00, 0.00, 0.00, 0.00, 0.00, 0.00], </t>
  </si>
  <si>
    <t xml:space="preserve">["A81", "A81", "VIDRIO LAMINADO REFLECTIVO AZUL 4+4MM", "Mt²", 59.8, 59.8, 68.13, 65.78, 71.23, 68.77, "CRIS LP 46 + 30% - cbba -  -  - santa puej -  - ", 0.00, 0.00, 0.00, 0.00, 0.00, 0.00, 0.00, 0.00], </t>
  </si>
  <si>
    <t xml:space="preserve">["A82", "A82", "VIDRIO LAMINADO INCOLORO 4+4MM", "Mt²", 31.2, 31.2, 35.55, 34.32, 37.17, 35.88, "CRIS LP 24 + 30% - cbba -  -  - santa puej -  - ", 0.00, 0.00, 0.00, 0.00, 0.00, 0.00, 0.00, 0.00], </t>
  </si>
  <si>
    <t xml:space="preserve">["A83", "A83", "PATIN SERIE 30 + RIEL SUP", "Pza.", 7.42, 7, 8.46, 7.7, 8.84, 8.05, " - cbba -  -  - santa puej -  - ", 0.00, 0.00, 0.00, 0.00, 0.00, 0.00, 0.00, 0.00], </t>
  </si>
  <si>
    <t xml:space="preserve">["A84", "A84", "PANEL CIELO FALSO 122X61", "Mt²", 12, 12, 13.68, 13.2, 14.3, 13.8, "tecnopor  10 + 20% - cbba -  -  - santa puej -  - ", 0.00, 0.00, 0.00, 0.00, 0.00, 0.00, 0.00, 0.00], </t>
  </si>
  <si>
    <t xml:space="preserve">["A85", "A85", "PANEL CIELO FALSO 61X61", "Mt²", 14.4, 14.4, 16.41, 15.84, 17.16, 16.56, "tecnopor  12 + 20% - cbba -  -  - santa puej -  - ", 0.00, 0.00, 0.00, 0.00, 0.00, 0.00, 0.00, 0.00], </t>
  </si>
  <si>
    <t xml:space="preserve">["A86", "A86", "ALAMBRE GALVANIZADO", "Kgr.", 3.75, 3.75, 4.28, 4.13, 4.47, 4.32, "Las Lomas ( 3+25% ) - cbba -  -  - santa puej -  - ", 0.00, 0.00, 0.00, 0.00, 0.00, 0.00, 0.00, 0.00], </t>
  </si>
  <si>
    <t xml:space="preserve">["A87", "A87", "ACRILICO", "Mt²", 19.5, 19.5, 22.22, 21.45, 23.23, 22.43, "CRIS LP 15 + 30% - cbba -  -  - santa puej -  - ", 0.00, 0.00, 0.00, 0.00, 0.00, 0.00, 0.00, 0.00], </t>
  </si>
  <si>
    <t xml:space="preserve">["A88", "A88", "VIDRIO LAMINADO REFLECTIVO BRONCE O GRIS 5+5 MM", "Mt²", 69, 69, 78.62, 75.9, 82.19, 79.35, "CLP 60 + 15% - cbba -  -  - santa puej -  - ", 0.00, 0.00, 0.00, 0.00, 0.00, 0.00, 0.00, 0.00], </t>
  </si>
  <si>
    <t xml:space="preserve">["A89", "A89", "VIDRIO TERMOPANEL DVH INCOLORO 5+5MM + 7 X (2H+2B)", "Mt²", 24.75, 24.75, 28.2, 27.23, 29.48, 28.47, "ALVICRUZ = VID + (7xPERIM.) - cbba -  -  - santa puej -  - ", 0.00, 0.00, 0.00, 0.00, 0.00, 0.00, 0.00, 0.00], </t>
  </si>
  <si>
    <t xml:space="preserve">["A90", "A90", "VIDRIO LAMINADO INCOLORO 3+3 MM", "Mt²", 28.64, 28.64, 32.63, 31.5, 34.12, 32.94, "ALVICRUZ    24.90 + 15% - cbba -  -  - santa puej -  - ", 0.00, 0.00, 0.00, 0.00, 0.00, 0.00, 0.00, 0.00], </t>
  </si>
  <si>
    <t xml:space="preserve">["A91", "A91", "VIDRIO TERMOPANEL DVH INCOLORO 5+6(3+3)MM + 7 X (2H+2B)", "Mt²", 41.01, 41.01, 46.73, 45.11, 48.85, 47.17, "ALVICRUZ = VID + (7xPERIM.) - cbba -  -  - santa puej -  - ", 0.00, 0.00, 0.00, 0.00, 0.00, 0.00, 0.00, 0.00], </t>
  </si>
  <si>
    <t xml:space="preserve">["A92", "A92", "ALUMINIO  6001", "Mt. Lin.", 6.39, 6.39, 7.28, 7.03, 7.62, 7.35, "ALVICRUZ = 33.32 - cbba -  -  - santa puej - 5.55333333333333 - ", 0.00, 0.00, 0.00, 0.00, 0.00, 0.00, 0.00, 0.00], </t>
  </si>
  <si>
    <t xml:space="preserve">["A93", "A93", "ALUMINIO  6002", "Mt. Lin.", 2.16, 2.16, 2.46, 2.37, 2.58, 2.49, "ALVICRUZ = 11.22 - cbba -  -  - santa puej - 1.87 - ", 0.00, 0.00, 0.00, 0.00, 0.00, 0.00, 0.00, 0.00], </t>
  </si>
  <si>
    <t xml:space="preserve">["A94", "A94", "ALUMINIO  6004", "Mt. Lin.", 4.98, 4.98, 5.67, 5.48, 5.94, 5.73, "ALVICRUZ = 25.95 - cbba -  -  - santa puej - 4.325 - ", 0.00, 0.00, 0.00, 0.00, 0.00, 0.00, 0.00, 0.00], </t>
  </si>
  <si>
    <t xml:space="preserve">["A95", "A95", "ALUMINIO  6005", "Mt. Lin.", 3.09, 3.09, 3.53, 3.4, 3.69, 3.56, "ALVICRUZ = 16.12 - cbba -  -  - santa puej - 2.68666666666667 - ", 0.00, 0.00, 0.00, 0.00, 0.00, 0.00, 0.00, 0.00], </t>
  </si>
  <si>
    <t xml:space="preserve">["A96", "A96", "JALADORES PAR", "Pza.", 16, 15, 18.23, 16.5, 19.06, 17.25, " - cbba -  -  - santa puej -  - ", 0.00, 0.00, 0.00, 0.00, 0.00, 0.00, 0.00, 0.00], </t>
  </si>
  <si>
    <t xml:space="preserve">["A97", "A97", "RODAMIENTO SERIE 60 ALVI", "Pza.", 5.5, 5.5, 6.27, 6.05, 6.56, 6.33, "ALVICRUZ - cbba -  -  - santa puej -  - ", 0.00, 0.00, 0.00, 0.00, 0.00, 0.00, 0.00, 0.00], </t>
  </si>
  <si>
    <t xml:space="preserve">["A98", "A98", "MANIJA + KIT BIPUNTO SERIE 60 ALVI", "Pza.", 35, 35, 39.88, 38.5, 41.69, 40.25, "ALVICRUZ - cbba -  -  - santa puej -  - ", 0.00, 0.00, 0.00, 0.00, 0.00, 0.00, 0.00, 0.00], </t>
  </si>
  <si>
    <t xml:space="preserve">["A99", "A99", "ESMERILADO", "Pza.", 5, 5, 5.7, 5.5, 5.96, 5.75, "ALVICRUZ - cbba -  -  - santa puej -  - ", 0.00, 0.00, 0.00, 0.00, 0.00, 0.00, 0.00, 0.00], </t>
  </si>
  <si>
    <t xml:space="preserve">["A100", "A100", "OTRO", "Pza.", 0, 0, 0, 0, 0, 0, "ALVICRUZ - cbba -  -  - santa puej -  - ", 0.00, 0.00, 0.00, 0.00, 0.00, 0.00, 0.00, 0.00], </t>
  </si>
  <si>
    <t xml:space="preserve">["A101", "A101", "OTRO", "Pza.", 0, 0, 0, 0, 0, 0, "ALVICRUZ - cbba -  -  - santa puej -  - ", 0.00, 0.00, 0.00, 0.00, 0.00, 0.00, 0.00, 0.00], </t>
  </si>
  <si>
    <t xml:space="preserve">["A102", "A102", "OTRO", "Pza.", 0, 0, 0, 0, 0, 0, "ALVICRUZ - cbba -  -  - santa puej -  - ", 0.00, 0.00, 0.00, 0.00, 0.00, 0.00, 0.00, 0.00], </t>
  </si>
  <si>
    <t xml:space="preserve">["A103", "A103", "OTRO", "Pza.", 0, 0, 0, 0, 0, 0, "ALVICRUZ - cbba -  -  - santa puej -  - ", 0.00, 0.00, 0.00, 0.00, 0.00, 0.00, 0.00, 0.00], </t>
  </si>
  <si>
    <t xml:space="preserve">["A104", "A104", "OTRO", "Pza.", 0, 0, 0, 0, 0, 0, "ALVICRUZ - cbba -  -  - santa puej -  - ", 0.00, 0.00, 0.00, 0.00, 0.00, 0.00, 0.00, 0.00], </t>
  </si>
  <si>
    <t xml:space="preserve">["A105", "A105", "OTRO", "Pza.", 0, 0, 0, 0, 0, 0, "ALVICRUZ - cbba -  -  - santa puej -  - ", 0.00, 0.00, 0.00, 0.00, 0.00, 0.00, 0.00, 0.00], </t>
  </si>
  <si>
    <t xml:space="preserve">["A106", "A106", "OTRO", "Pza.", 0, 0, 0, 0, 0, 0, "ALVICRUZ - cbba -  -  - santa puej -  - ", 0.00, 0.00, 0.00, 0.00, 0.00, 0.00, 0.00, 0.00], </t>
  </si>
  <si>
    <t xml:space="preserve">["A107", "A107", "OTRO", "Pza.", 0, 0, 0, 0, 0, 0, "ALVICRUZ - cbba -  -  - santa puej -  - ", 0.00, 0.00, 0.00, 0.00, 0.00, 0.00, 0.00, 0.00], </t>
  </si>
  <si>
    <t xml:space="preserve">["A108", "A108", "OTRO", "Pza.", 0, 0, 0, 0, 0, 0, "ALVICRUZ - cbba -  -  - santa puej -  - ", 0.00, 0.00, 0.00, 0.00, 0.00, 0.00, 0.00, 0.00], </t>
  </si>
  <si>
    <t xml:space="preserve">["PF8", "PF8", "PAÑOS FIJOS CON VIDRIO TEMPLADO INCOLORO DE 8 mm DE ESPESOR ", "Pza(s).", 0, 0, 0, 0, 0, 0, "Datos para proforma", 0.00, 0.00, 0.00, 0.00, 0.00, 0.00, 0.00, 0.00], </t>
  </si>
  <si>
    <t xml:space="preserve">["PF8C", "PF8C", "PAÑOS FIJOS CON VIDRIO TEMPLADO COLOR DE 8 mm DE ESPESOR ", "Pza(s).", 0, 0, 0, 0, 0, 0, "Datos para proforma", 0.00, 0.00, 0.00, 0.00, 0.00, 0.00, 0.00, 0.00], </t>
  </si>
  <si>
    <t xml:space="preserve">["PF10", "PF10", "PAÑOS FIJOS CON VIDRIO TEMPLADO INCOLORO DE 10 mm DE ESPESOR ", "Pza(s).", 0, 0, 0, 0, 0, 0, "Datos para proforma", 0.00, 0.00, 0.00, 0.00, 0.00, 0.00, 0.00, 0.00], </t>
  </si>
  <si>
    <t xml:space="preserve">["PF10C", "PF10C", " PAÑOS FIJOS CON VIDRIO TEMPLADO COLOR DE 10 mm DE ESPESOR ", "Pza(s).", 0, 0, 0, 0, 0, 0, "Datos para proforma", 0.00, 0.00, 0.00, 0.00, 0.00, 0.00, 0.00, 0.00], </t>
  </si>
  <si>
    <t xml:space="preserve">["FTCV8", "FTCV8", "FRENTE TIPO SPYDER CON SOPORTE TUBULAR DE VIDRIO TEMPLADO INCOLORO DE 8 mm DE ESPESOR ", "Pza(s).", 0, 0, 0, 0, 0, 0, "Datos para proforma", 0.00, 0.00, 0.00, 0.00, 0.00, 0.00, 0.00, 0.00], </t>
  </si>
  <si>
    <t xml:space="preserve">["FTCV8C", "FTCV8C", "FRENTE TIPO SPYDER CON SOPORTE TUBULAR DE VIDRIO TEMPLADO COLOR DE 8 mm DE ESPESOR ", "Pza(s).", 0, 0, 0, 0, 0, 0, "Datos para proforma", 0.00, 0.00, 0.00, 0.00, 0.00, 0.00, 0.00, 0.00], </t>
  </si>
  <si>
    <t xml:space="preserve">["FTTS10", "FTTS10", "FRENTE TIPO SPYDER CON SOPORTE TUBULAR DE VIDRIO TEMPLADO INCOLORO DE 10 mm DE ESPESOR ", "Pza(s).", 0, 0, 0, 0, 0, 0, "Datos para proforma", 0.00, 0.00, 0.00, 0.00, 0.00, 0.00, 0.00, 0.00], </t>
  </si>
  <si>
    <t xml:space="preserve">["FTTS10C", "FTTS10C", "FRENTE TIPO SPYDER CON SOPORTE TUBULAR DE VIDRIO TEMPLADO COLOR DE 10 mm DE ESPESOR ", "Pza(s).", 0, 0, 0, 0, 0, 0, "Datos para proforma", 0.00, 0.00, 0.00, 0.00, 0.00, 0.00, 0.00, 0.00], </t>
  </si>
  <si>
    <t xml:space="preserve">["FTCV8", "FTCV8", "FRENTE DE VIDRIO TEMPLADO CON HERRAJES Y VIENTOS INCOLORO DE 8 mm DE ESPESOR ", "Pza(s).", 0, 0, 0, 0, 0, 0, "Datos para proforma", 0.00, 0.00, 0.00, 0.00, 0.00, 0.00, 0.00, 0.00], </t>
  </si>
  <si>
    <t xml:space="preserve">["FTCV8C", "FTCV8C", "FRENTE DE VIDRIO TEMPLADO CON HERRAJES Y VIENTOS COLOR DE 8 mm DE ESPESOR ", "Pza(s).", 0, 0, 0, 0, 0, 0, "Datos para proforma", 0.00, 0.00, 0.00, 0.00, 0.00, 0.00, 0.00, 0.00], </t>
  </si>
  <si>
    <t xml:space="preserve">["FTCV10", "FTCV10", "FRENTE DE VIDRIO TEMPLADO CON HERRAJES Y VIENTOS INCOLORO DE 10 mm DE ESPESOR ", "Pza(s).", 0, 0, 0, 0, 0, 0, "Datos para proforma", 0.00, 0.00, 0.00, 0.00, 0.00, 0.00, 0.00, 0.00], </t>
  </si>
  <si>
    <t xml:space="preserve">["FTCV10C", "FTCV10C", "FRENTE DE VIDRIO TEMPLADO CON HERRAJES Y VIENTOS COLOR DE 10 mm DE ESPESOR ", "Pza(s).", 0, 0, 0, 0, 0, 0, "Datos para proforma", 0.00, 0.00, 0.00, 0.00, 0.00, 0.00, 0.00, 0.00], </t>
  </si>
  <si>
    <t xml:space="preserve">VENTANAS CORREDIZAS DE 2 HOJAS CON VIDRIO TEMPLADO INCOLORO DE 10 mm DE ESPESOR </t>
  </si>
  <si>
    <t xml:space="preserve">VENTANAS CORREDIZAS DE 2 HOJAS CON VIDRIO TEMPLADO COLOR DE 10 mm DE ESPESOR </t>
  </si>
  <si>
    <t xml:space="preserve">VENTANAS CORREDIZAS DE 2 HOJAS MAS FIJO CON VIDRIO TEMPLADO INCOLORO DE 8 mm DE ESPESOR </t>
  </si>
  <si>
    <t xml:space="preserve">VENTANAS CORREDIZAS DE 2 HOJAS MAS FIJO CON VIDRIO TEMPLADO COLOR DE 8 mm DE ESPESOR </t>
  </si>
  <si>
    <t xml:space="preserve">VENTANAS CORREDIZAS DE 2 HOJAS MAS FIJO CON VIDRIO TEMPLADO INCOLORO DE 10 mm DE ESPESOR </t>
  </si>
  <si>
    <t xml:space="preserve">VENTANAS CORREDIZAS DE 4 HOJAS MAS FIJO CON VIDRIO TEMPLADO INCOLORO DE 8 mm DE ESPESOR </t>
  </si>
  <si>
    <t xml:space="preserve">VENTANAS CORREDIZAS DE 2 HOJAS MAS FIJO CON VIDRIO TEMPLADO COLOR DE 10 mm DE ESPESOR </t>
  </si>
  <si>
    <t xml:space="preserve">VENTANAS CORREDIZAS DE 4 HOJAS CON VIDRIO TEMPLADO INCOLORO DE 10 mm DE ESPESOR </t>
  </si>
  <si>
    <t xml:space="preserve">VENTANAS CORREDIZAS DE 4 HOJAS CON VIDRIO TEMPLADO COLOR DE 10 mm DE ESPESOR </t>
  </si>
  <si>
    <t xml:space="preserve">VENTANAS CORREDIZAS DE 4 HOJAS MAS FIJO CON VIDRIO TEMPLADO COLOR DE 8 mm DE ESPESOR </t>
  </si>
  <si>
    <t xml:space="preserve">VENTANAS CORREDIZAS DE 4 HOJAS MAS FIJO CON VIDRIO TEMPLADO INCOLORO DE 10 mm DE ESPESOR </t>
  </si>
  <si>
    <t xml:space="preserve">VENTANAS CORREDIZAS DE 4 HOJAS MAS FIJO CON VIDRIO TEMPLADO COLOR DE 10 mm DE ESPESOR </t>
  </si>
  <si>
    <t>PVC4HCF8</t>
  </si>
  <si>
    <t>PVC4HCF8C</t>
  </si>
  <si>
    <t>PVC4HCF10</t>
  </si>
  <si>
    <t>PVC4HCF10C</t>
  </si>
  <si>
    <t>PVC2H8</t>
  </si>
  <si>
    <t>PVC2H8C</t>
  </si>
  <si>
    <t>PVC2HCF8</t>
  </si>
  <si>
    <t>PVC2HCF8C</t>
  </si>
  <si>
    <t>PVC2HCF10</t>
  </si>
  <si>
    <t>PVC2HCF10C</t>
  </si>
  <si>
    <t>PVC4H8</t>
  </si>
  <si>
    <t>PVC4H8C</t>
  </si>
  <si>
    <t xml:space="preserve">PUERTAS BATIENTES SIMPLE DE VIDRIO TEMPLADO COLOR DE 10 mm DE ESPESOR </t>
  </si>
  <si>
    <t xml:space="preserve">PUERTAS BATIENTES SIMPLE DE VIDRIO TEMPLADO INCOLORO DE 10 mm DE ESPESOR </t>
  </si>
  <si>
    <t>PBS10</t>
  </si>
  <si>
    <t>PBS10C</t>
  </si>
  <si>
    <t>PBD10</t>
  </si>
  <si>
    <t>PBD10C</t>
  </si>
  <si>
    <t xml:space="preserve">PUERTAS BATIENTES DOBLE DE VIDRIO TEMPLADO INCOLORO DE 10 mm DE ESPESOR </t>
  </si>
  <si>
    <t xml:space="preserve">PUERTAS BATIENTES DOBLE DE VIDRIO TEMPLADO COLOR DE 10 mm DE ESPESOR </t>
  </si>
  <si>
    <t xml:space="preserve">PUERTAS BATIENTES CON FIJOS LATERALES DE VIDRIO TEMPLADO INCOLORO DE 10 mm DE ESPESOR </t>
  </si>
  <si>
    <t xml:space="preserve">PUERTAS BATIENTES CON FIJOS LATERALES DE VIDRIO TEMPLADO COLOR DE 10 mm DE ESPESOR </t>
  </si>
  <si>
    <t>PBDCFL10</t>
  </si>
  <si>
    <t>PBDCFL10C</t>
  </si>
  <si>
    <t xml:space="preserve">PUERTAS BATIENTES CON FIJOS SUPERIOR DE VIDRIO TEMPLADO INCOLORO DE 10 mm DE ESPESOR </t>
  </si>
  <si>
    <t xml:space="preserve">PUERTAS BATIENTES CON FIJOS SUPERIOR DE VIDRIO TEMPLADO COLOR DE 10 mm DE ESPESOR </t>
  </si>
  <si>
    <t>PBDCFS10</t>
  </si>
  <si>
    <t>PBDCFS10C</t>
  </si>
  <si>
    <t>PBDCFLS10</t>
  </si>
  <si>
    <t>PBDCFLS10C</t>
  </si>
  <si>
    <t xml:space="preserve">PUERTAS BATIENTES CON FIJOS LATERAL Y SUPERIOR DE VIDRIO TEMPLADO INCOLORO DE 10 mm DE ESPESOR </t>
  </si>
  <si>
    <t xml:space="preserve">PUERTAS BATIENTES CON FIJOS LATERAL Y SUPERIOR DE VIDRIO TEMPLADO COLOR DE 10 mm DE ESPESOR </t>
  </si>
  <si>
    <t>PBSCFLS10</t>
  </si>
  <si>
    <t>PBSCFLS10C</t>
  </si>
  <si>
    <t xml:space="preserve">PUERTAS BATIENTES SIMPLE CON FIJOS LATERAL Y SUPERIOR DE VIDRIO TEMPLADO INCOLORO DE 10 mm DE ESPESOR </t>
  </si>
  <si>
    <t xml:space="preserve">PUERTAS BATIENTES SIMPLE CON FIJOS LATERAL Y SUPERIOR DE VIDRIO TEMPLADO COLOR DE 10 mm DE ESPESOR </t>
  </si>
  <si>
    <t>sin observaciones</t>
  </si>
  <si>
    <t xml:space="preserve">["TEC", "TEC", "TECNICO", "obra", 0, 0, 0, 0, 0, 0, "sin observaciones", 0.00, 0.00, 0.00, 0.00, 0.00, 0.00, 0.00, 0.00], </t>
  </si>
  <si>
    <t xml:space="preserve">["OB", "OB", "OBRA  ", "obra", 0, 0, 0, 0, 0, 0, "sin observaciones", 0.00, 0.00, 0.00, 0.00, 0.00, 0.00, 0.00, 0.00], </t>
  </si>
  <si>
    <t xml:space="preserve">["CL", "CL", "CLIENTE  ", "cliente", 0, 0, 0, 0, 0, 0, "sin observaciones", 0.00, 0.00, 0.00, 0.00, 0.00, 0.00, 0.00, 0.00], </t>
  </si>
  <si>
    <t xml:space="preserve">["TE", "TE", "TELEFONO  ", "telefono", 0, 0, 0, 0, 0, 0, "sin observaciones", 0.00, 0.00, 0.00, 0.00, 0.00, 0.00, 0.00, 0.00], </t>
  </si>
  <si>
    <t xml:space="preserve">["DI", "DI", "DIRECCION  ", "direccion", 0, 0, 0, 0, 0, 0, "sin observaciones", 0.00, 0.00, 0.00, 0.00, 0.00, 0.00, 0.00, 0.00], </t>
  </si>
  <si>
    <t xml:space="preserve">["CO", "CO", "CORREO  ", "correo", 0, 0, 0, 0, 0, 0, "sin observaciones", 0.00, 0.00, 0.00, 0.00, 0.00, 0.00, 0.00, 0.00], </t>
  </si>
  <si>
    <t xml:space="preserve">["OBS", "OBS", "OBSERVACIONES  ", "observa", 0, 0, 0, 0, 0, 0, "sin observaciones", 0.00, 0.00, 0.00, 0.00, 0.00, 0.00, 0.00, 0.00], </t>
  </si>
  <si>
    <t xml:space="preserve">["PVC2H8", "PVC2H8", "VENTANAS CORREDIZAS DE 2 HOJAS CON VIDRIO TEMPLADO INCOLORO DE 8 mm DE ESPESOR ", "Pza(s).", 0, 0, 0, 0, 0, 0, "Datos para proforma", 0.00, 0.00, 0.00, 0.00, 0.00, 0.00, 0.00, 0.00], </t>
  </si>
  <si>
    <t xml:space="preserve">["PVC2H8C", "PVC2H8C", "VENTANAS CORREDIZAS DE 2 HOJAS CON VIDRIO TEMPLADO COLOR DE 8 mm DE ESPESOR ", "Pza(s).", 0, 0, 0, 0, 0, 0, "Datos para proforma", 0.00, 0.00, 0.00, 0.00, 0.00, 0.00, 0.00, 0.00], </t>
  </si>
  <si>
    <t xml:space="preserve">["PVC2H10", "PVC2H10", "VENTANAS CORREDIZAS DE 2 HOJAS CON VIDRIO TEMPLADO INCOLORO DE 10 mm DE ESPESOR ", "Pza(s).", 0, 0, 0, 0, 0, 0, "Datos para proforma", 0.00, 0.00, 0.00, 0.00, 0.00, 0.00, 0.00, 0.00], </t>
  </si>
  <si>
    <t xml:space="preserve">["PVC2H10C", "PVC2H10C", "VENTANAS CORREDIZAS DE 2 HOJAS CON VIDRIO TEMPLADO COLOR DE 10 mm DE ESPESOR ", "Pza(s).", 0, 0, 0, 0, 0, 0, "Datos para proforma", 0.00, 0.00, 0.00, 0.00, 0.00, 0.00, 0.00, 0.00], </t>
  </si>
  <si>
    <t xml:space="preserve">["PVC2HCF8", "PVC2HCF8", "VENTANAS CORREDIZAS DE 2 HOJAS MAS FIJO CON VIDRIO TEMPLADO INCOLORO DE 8 mm DE ESPESOR ", "Pza(s).", 0, 0, 0, 0, 0, 0, "Datos para proforma", 0.00, 0.00, 0.00, 0.00, 0.00, 0.00, 0.00, 0.00], </t>
  </si>
  <si>
    <t xml:space="preserve">["PVC2HCF8C", "PVC2HCF8C", "VENTANAS CORREDIZAS DE 2 HOJAS MAS FIJO CON VIDRIO TEMPLADO COLOR DE 8 mm DE ESPESOR ", "Pza(s).", 0, 0, 0, 0, 0, 0, "Datos para proforma", 0.00, 0.00, 0.00, 0.00, 0.00, 0.00, 0.00, 0.00], </t>
  </si>
  <si>
    <t xml:space="preserve">["PVC2HCF10", "PVC2HCF10", "VENTANAS CORREDIZAS DE 2 HOJAS MAS FIJO CON VIDRIO TEMPLADO INCOLORO DE 10 mm DE ESPESOR ", "Pza(s).", 0, 0, 0, 0, 0, 0, "Datos para proforma", 0.00, 0.00, 0.00, 0.00, 0.00, 0.00, 0.00, 0.00], </t>
  </si>
  <si>
    <t xml:space="preserve">["PVC2HCF10C", "PVC2HCF10C", "VENTANAS CORREDIZAS DE 2 HOJAS MAS FIJO CON VIDRIO TEMPLADO COLOR DE 10 mm DE ESPESOR ", "Pza(s).", 0, 0, 0, 0, 0, 0, "Datos para proforma", 0.00, 0.00, 0.00, 0.00, 0.00, 0.00, 0.00, 0.00], </t>
  </si>
  <si>
    <t xml:space="preserve">["PVC4H8", "PVC4H8", "VENTANAS CORREDIZAS DE 4 HOJAS CON VIDRIO TEMPLADO INCOLORO DE 8 mm DE ESPESOR ", "Pza(s).", 0, 0, 0, 0, 0, 0, "Datos para proforma", 0.00, 0.00, 0.00, 0.00, 0.00, 0.00, 0.00, 0.00], </t>
  </si>
  <si>
    <t xml:space="preserve">["PVC4H8C", "PVC4H8C", "VENTANAS CORREDIZAS DE 4 HOJAS CON VIDRIO TEMPLADO COLOR DE 8 mm DE ESPESOR ", "Pza(s).", 0, 0, 0, 0, 0, 0, "Datos para proforma", 0.00, 0.00, 0.00, 0.00, 0.00, 0.00, 0.00, 0.00], </t>
  </si>
  <si>
    <t xml:space="preserve">["PVC4H10", "PVC4H10", "VENTANAS CORREDIZAS DE 4 HOJAS CON VIDRIO TEMPLADO INCOLORO DE 10 mm DE ESPESOR ", "Pza(s).", 0, 0, 0, 0, 0, 0, "Datos para proforma", 0.00, 0.00, 0.00, 0.00, 0.00, 0.00, 0.00, 0.00], </t>
  </si>
  <si>
    <t xml:space="preserve">["PVC4H10C", "PVC4H10C", "VENTANAS CORREDIZAS DE 4 HOJAS CON VIDRIO TEMPLADO COLOR DE 10 mm DE ESPESOR ", "Pza(s).", 0, 0, 0, 0, 0, 0, "Datos para proforma", 0.00, 0.00, 0.00, 0.00, 0.00, 0.00, 0.00, 0.00], </t>
  </si>
  <si>
    <t xml:space="preserve">["PVC4HCF8", "PVC4HCF8", "VENTANAS CORREDIZAS DE 4 HOJAS MAS FIJO CON VIDRIO TEMPLADO INCOLORO DE 8 mm DE ESPESOR ", "Pza(s).", 0, 0, 0, 0, 0, 0, "Datos para proforma", 0.00, 0.00, 0.00, 0.00, 0.00, 0.00, 0.00, 0.00], </t>
  </si>
  <si>
    <t xml:space="preserve">["PVC4HCF8C", "PVC4HCF8C", "VENTANAS CORREDIZAS DE 4 HOJAS MAS FIJO CON VIDRIO TEMPLADO COLOR DE 8 mm DE ESPESOR ", "Pza(s).", 0, 0, 0, 0, 0, 0, "Datos para proforma", 0.00, 0.00, 0.00, 0.00, 0.00, 0.00, 0.00, 0.00], </t>
  </si>
  <si>
    <t xml:space="preserve">["PVC4HCF10", "PVC4HCF10", "VENTANAS CORREDIZAS DE 4 HOJAS MAS FIJO CON VIDRIO TEMPLADO INCOLORO DE 10 mm DE ESPESOR ", "Pza(s).", 0, 0, 0, 0, 0, 0, "Datos para proforma", 0.00, 0.00, 0.00, 0.00, 0.00, 0.00, 0.00, 0.00], </t>
  </si>
  <si>
    <t xml:space="preserve">["PVC4HCF10C", "PVC4HCF10C", "VENTANAS CORREDIZAS DE 4 HOJAS MAS FIJO CON VIDRIO TEMPLADO COLOR DE 10 mm DE ESPESOR ", "Pza(s).", 0, 0, 0, 0, 0, 0, "Datos para proforma", 0.00, 0.00, 0.00, 0.00, 0.00, 0.00, 0.00, 0.00], </t>
  </si>
  <si>
    <t xml:space="preserve">["PBS10", "PBS10", "PUERTAS BATIENTES SIMPLE DE VIDRIO TEMPLADO INCOLORO DE 10 mm DE ESPESOR ", "Pza(s).", 0, 0, 0, 0, 0, 0, "Datos para proforma", 0.00, 0.00, 0.00, 0.00, 0.00, 0.00, 0.00, 0.00], </t>
  </si>
  <si>
    <t xml:space="preserve">["PBS10C", "PBS10C", "PUERTAS BATIENTES SIMPLE DE VIDRIO TEMPLADO COLOR DE 10 mm DE ESPESOR ", "Pza(s).", 0, 0, 0, 0, 0, 0, "Datos para proforma", 0.00, 0.00, 0.00, 0.00, 0.00, 0.00, 0.00, 0.00], </t>
  </si>
  <si>
    <t xml:space="preserve">["PBD10", "PBD10", "PUERTAS BATIENTES DOBLE DE VIDRIO TEMPLADO INCOLORO DE 10 mm DE ESPESOR ", "Pza(s).", 0, 0, 0, 0, 0, 0, "Datos para proforma", 0.00, 0.00, 0.00, 0.00, 0.00, 0.00, 0.00, 0.00], </t>
  </si>
  <si>
    <t xml:space="preserve">["PBD10C", "PBD10C", "PUERTAS BATIENTES DOBLE DE VIDRIO TEMPLADO COLOR DE 10 mm DE ESPESOR ", "Pza(s).", 0, 0, 0, 0, 0, 0, "Datos para proforma", 0.00, 0.00, 0.00, 0.00, 0.00, 0.00, 0.00, 0.00], </t>
  </si>
  <si>
    <t xml:space="preserve">["PBDCFL10", "PBDCFL10", "PUERTAS BATIENTES CON FIJOS LATERALES DE VIDRIO TEMPLADO INCOLORO DE 10 mm DE ESPESOR ", "Pza(s).", 0, 0, 0, 0, 0, 0, "Datos para proforma", 0.00, 0.00, 0.00, 0.00, 0.00, 0.00, 0.00, 0.00], </t>
  </si>
  <si>
    <t xml:space="preserve">["PBDCFL10C", "PBDCFL10C", "PUERTAS BATIENTES CON FIJOS LATERALES DE VIDRIO TEMPLADO COLOR DE 10 mm DE ESPESOR ", "Pza(s).", 0, 0, 0, 0, 0, 0, "Datos para proforma", 0.00, 0.00, 0.00, 0.00, 0.00, 0.00, 0.00, 0.00], </t>
  </si>
  <si>
    <t xml:space="preserve">["PBDCFS10", "PBDCFS10", "PUERTAS BATIENTES CON FIJOS SUPERIOR DE VIDRIO TEMPLADO INCOLORO DE 10 mm DE ESPESOR ", "Pza(s).", 0, 0, 0, 0, 0, 0, "Datos para proforma", 0.00, 0.00, 0.00, 0.00, 0.00, 0.00, 0.00, 0.00], </t>
  </si>
  <si>
    <t xml:space="preserve">["PBDCFS10C", "PBDCFS10C", "PUERTAS BATIENTES CON FIJOS SUPERIOR DE VIDRIO TEMPLADO COLOR DE 10 mm DE ESPESOR ", "Pza(s).", 0, 0, 0, 0, 0, 0, "Datos para proforma", 0.00, 0.00, 0.00, 0.00, 0.00, 0.00, 0.00, 0.00], </t>
  </si>
  <si>
    <t xml:space="preserve">["PBDCFLS10", "PBDCFLS10", "PUERTAS BATIENTES CON FIJOS LATERAL Y SUPERIOR DE VIDRIO TEMPLADO INCOLORO DE 10 mm DE ESPESOR ", "Pza(s).", 0, 0, 0, 0, 0, 0, "Datos para proforma", 0.00, 0.00, 0.00, 0.00, 0.00, 0.00, 0.00, 0.00], </t>
  </si>
  <si>
    <t xml:space="preserve">["PBDCFLS10C", "PBDCFLS10C", "PUERTAS BATIENTES CON FIJOS LATERAL Y SUPERIOR DE VIDRIO TEMPLADO COLOR DE 10 mm DE ESPESOR ", "Pza(s).", 0, 0, 0, 0, 0, 0, "Datos para proforma", 0.00, 0.00, 0.00, 0.00, 0.00, 0.00, 0.00, 0.00], </t>
  </si>
  <si>
    <t xml:space="preserve">["PBSCFLS10", "PBSCFLS10", "PUERTAS BATIENTES SIMPLE CON FIJOS LATERAL Y SUPERIOR DE VIDRIO TEMPLADO INCOLORO DE 10 mm DE ESPESOR ", "Pza(s).", 0, 0, 0, 0, 0, 0, "Datos para proforma", 0.00, 0.00, 0.00, 0.00, 0.00, 0.00, 0.00, 0.00], </t>
  </si>
  <si>
    <t xml:space="preserve">["PBSCFLS10C", "PBSCFLS10C", "PUERTAS BATIENTES SIMPLE CON FIJOS LATERAL Y SUPERIOR DE VIDRIO TEMPLADO COLOR DE 10 mm DE ESPESOR ", "Pza(s).", 0, 0, 0, 0, 0, 0, "Datos para proforma", 0.00, 0.00, 0.00, 0.00, 0.00, 0.00, 0.00, 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</si>
</sst>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ont>
    <font>
      <sz val="10"/>
      <name val="Arial"/>
      <family val="2"/>
    </font>
    <font>
      <sz val="10"/>
      <name val="Rockwell"/>
      <family val="1"/>
    </font>
    <font>
      <b/>
      <sz val="14"/>
      <name val="Rockwell"/>
      <family val="1"/>
    </font>
    <font>
      <b/>
      <sz val="10"/>
      <name val="Rockwell"/>
      <family val="1"/>
    </font>
    <font>
      <sz val="10"/>
      <name val="Arial"/>
    </font>
    <font>
      <b/>
      <sz val="12"/>
      <name val="Rockwell"/>
      <family val="1"/>
    </font>
    <font>
      <b/>
      <sz val="10"/>
      <color rgb="FFFF0000"/>
      <name val="Rockwell"/>
      <family val="1"/>
    </font>
    <font>
      <b/>
      <sz val="16"/>
      <name val="Rockwell"/>
      <family val="1"/>
    </font>
    <font>
      <sz val="8"/>
      <name val="Arial"/>
    </font>
    <font>
      <b/>
      <sz val="12"/>
      <name val="Consolas"/>
      <family val="3"/>
    </font>
    <font>
      <sz val="22"/>
      <name val="Rockwell"/>
      <family val="1"/>
    </font>
    <font>
      <b/>
      <sz val="22"/>
      <name val="Rockwell"/>
      <family val="1"/>
    </font>
    <font>
      <sz val="22"/>
      <name val="Arial"/>
      <family val="2"/>
    </font>
    <font>
      <b/>
      <u/>
      <sz val="10"/>
      <color rgb="FFFF0000"/>
      <name val="Rockwell"/>
      <family val="1"/>
    </font>
  </fonts>
  <fills count="10">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0"/>
        <bgColor indexed="64"/>
      </patternFill>
    </fill>
    <fill>
      <patternFill patternType="solid">
        <fgColor indexed="9"/>
        <bgColor indexed="64"/>
      </patternFill>
    </fill>
    <fill>
      <patternFill patternType="solid">
        <fgColor rgb="FF92D050"/>
        <bgColor indexed="64"/>
      </patternFill>
    </fill>
    <fill>
      <patternFill patternType="solid">
        <fgColor theme="7"/>
        <bgColor indexed="64"/>
      </patternFill>
    </fill>
    <fill>
      <patternFill patternType="solid">
        <fgColor rgb="FFFFC000"/>
        <bgColor indexed="64"/>
      </patternFill>
    </fill>
  </fills>
  <borders count="14">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diagonal/>
    </border>
    <border>
      <left/>
      <right/>
      <top style="thin">
        <color auto="1"/>
      </top>
      <bottom/>
      <diagonal/>
    </border>
    <border>
      <left/>
      <right/>
      <top/>
      <bottom style="thin">
        <color auto="1"/>
      </bottom>
      <diagonal/>
    </border>
    <border>
      <left style="thin">
        <color auto="1"/>
      </left>
      <right/>
      <top style="thin">
        <color auto="1"/>
      </top>
      <bottom style="thin">
        <color auto="1"/>
      </bottom>
      <diagonal/>
    </border>
  </borders>
  <cellStyleXfs count="3">
    <xf numFmtId="0" fontId="0" fillId="0" borderId="0"/>
    <xf numFmtId="9" fontId="5" fillId="0" borderId="0" applyFont="0" applyFill="0" applyBorder="0" applyAlignment="0" applyProtection="0"/>
    <xf numFmtId="0" fontId="1" fillId="0" borderId="0"/>
  </cellStyleXfs>
  <cellXfs count="99">
    <xf numFmtId="0" fontId="0" fillId="0" borderId="0" xfId="0"/>
    <xf numFmtId="0" fontId="2" fillId="0" borderId="0" xfId="2" applyFont="1"/>
    <xf numFmtId="0" fontId="3" fillId="0" borderId="0" xfId="2" applyFont="1"/>
    <xf numFmtId="0" fontId="2" fillId="0" borderId="0" xfId="2" applyFont="1" applyAlignment="1">
      <alignment horizontal="center"/>
    </xf>
    <xf numFmtId="0" fontId="4" fillId="0" borderId="0" xfId="2" applyFont="1"/>
    <xf numFmtId="0" fontId="2" fillId="0" borderId="0" xfId="2" applyFont="1" applyAlignment="1">
      <alignment horizontal="justify"/>
    </xf>
    <xf numFmtId="10" fontId="6" fillId="0" borderId="0" xfId="1" applyNumberFormat="1" applyFont="1"/>
    <xf numFmtId="0" fontId="4" fillId="0" borderId="3" xfId="2" applyFont="1" applyBorder="1" applyAlignment="1">
      <alignment horizontal="center"/>
    </xf>
    <xf numFmtId="0" fontId="4" fillId="0" borderId="5" xfId="2" applyFont="1" applyBorder="1" applyAlignment="1">
      <alignment horizontal="center"/>
    </xf>
    <xf numFmtId="0" fontId="4" fillId="0" borderId="6" xfId="2" applyFont="1" applyBorder="1" applyAlignment="1">
      <alignment horizontal="center"/>
    </xf>
    <xf numFmtId="0" fontId="2" fillId="0" borderId="3" xfId="2" applyFont="1" applyBorder="1"/>
    <xf numFmtId="0" fontId="4" fillId="0" borderId="3" xfId="2" applyFont="1" applyBorder="1" applyAlignment="1">
      <alignment horizontal="center" vertical="center"/>
    </xf>
    <xf numFmtId="0" fontId="4" fillId="2" borderId="3" xfId="2" applyFont="1" applyFill="1" applyBorder="1" applyAlignment="1">
      <alignment horizontal="left"/>
    </xf>
    <xf numFmtId="2" fontId="2" fillId="2" borderId="3" xfId="2" applyNumberFormat="1" applyFont="1" applyFill="1" applyBorder="1"/>
    <xf numFmtId="0" fontId="2" fillId="2" borderId="3" xfId="2" applyFont="1" applyFill="1" applyBorder="1" applyAlignment="1">
      <alignment horizontal="justify"/>
    </xf>
    <xf numFmtId="10" fontId="6" fillId="2" borderId="0" xfId="1" applyNumberFormat="1" applyFont="1" applyFill="1"/>
    <xf numFmtId="0" fontId="4" fillId="0" borderId="3" xfId="2" applyFont="1" applyBorder="1" applyAlignment="1">
      <alignment horizontal="left"/>
    </xf>
    <xf numFmtId="0" fontId="2" fillId="0" borderId="3" xfId="2" applyFont="1" applyBorder="1" applyAlignment="1">
      <alignment horizontal="justify"/>
    </xf>
    <xf numFmtId="2" fontId="2" fillId="0" borderId="0" xfId="2" applyNumberFormat="1" applyFont="1"/>
    <xf numFmtId="2" fontId="2" fillId="0" borderId="3" xfId="2" applyNumberFormat="1" applyFont="1" applyBorder="1"/>
    <xf numFmtId="0" fontId="2" fillId="0" borderId="0" xfId="0" applyFont="1"/>
    <xf numFmtId="2" fontId="2" fillId="0" borderId="3" xfId="0" applyNumberFormat="1" applyFont="1" applyBorder="1"/>
    <xf numFmtId="0" fontId="7" fillId="2" borderId="3" xfId="2" applyFont="1" applyFill="1" applyBorder="1" applyAlignment="1">
      <alignment horizontal="left" vertical="center"/>
    </xf>
    <xf numFmtId="0" fontId="2" fillId="3" borderId="3" xfId="2" applyFont="1" applyFill="1" applyBorder="1" applyAlignment="1">
      <alignment horizontal="justify"/>
    </xf>
    <xf numFmtId="0" fontId="2" fillId="4" borderId="3" xfId="2" applyFont="1" applyFill="1" applyBorder="1" applyAlignment="1">
      <alignment horizontal="justify"/>
    </xf>
    <xf numFmtId="0" fontId="4" fillId="0" borderId="3" xfId="2" applyFont="1" applyBorder="1"/>
    <xf numFmtId="0" fontId="1" fillId="0" borderId="0" xfId="2"/>
    <xf numFmtId="0" fontId="4" fillId="0" borderId="0" xfId="0" applyFont="1"/>
    <xf numFmtId="0" fontId="2" fillId="0" borderId="0" xfId="0" applyFont="1" applyAlignment="1">
      <alignment horizontal="center"/>
    </xf>
    <xf numFmtId="0" fontId="2" fillId="0" borderId="0" xfId="0" applyFont="1" applyAlignment="1">
      <alignment horizontal="justify"/>
    </xf>
    <xf numFmtId="0" fontId="10" fillId="0" borderId="0" xfId="0" applyFont="1" applyAlignment="1">
      <alignment vertical="center"/>
    </xf>
    <xf numFmtId="0" fontId="4" fillId="0" borderId="6" xfId="2" applyFont="1" applyBorder="1" applyAlignment="1">
      <alignment horizontal="justify"/>
    </xf>
    <xf numFmtId="0" fontId="2" fillId="0" borderId="1" xfId="2" applyFont="1" applyBorder="1"/>
    <xf numFmtId="0" fontId="2" fillId="0" borderId="4" xfId="2" applyFont="1" applyBorder="1"/>
    <xf numFmtId="0" fontId="4" fillId="0" borderId="4" xfId="2" applyFont="1" applyBorder="1" applyAlignment="1">
      <alignment horizontal="left"/>
    </xf>
    <xf numFmtId="0" fontId="2" fillId="2" borderId="3" xfId="2" applyFont="1" applyFill="1" applyBorder="1" applyAlignment="1">
      <alignment horizontal="center"/>
    </xf>
    <xf numFmtId="2" fontId="6" fillId="2" borderId="3" xfId="2" applyNumberFormat="1" applyFont="1" applyFill="1" applyBorder="1"/>
    <xf numFmtId="0" fontId="2" fillId="0" borderId="3" xfId="2" applyFont="1" applyBorder="1" applyAlignment="1">
      <alignment horizontal="center"/>
    </xf>
    <xf numFmtId="2" fontId="6" fillId="0" borderId="3" xfId="2" applyNumberFormat="1" applyFont="1" applyBorder="1"/>
    <xf numFmtId="0" fontId="8" fillId="0" borderId="3" xfId="2" applyFont="1" applyBorder="1" applyAlignment="1">
      <alignment horizontal="left"/>
    </xf>
    <xf numFmtId="2" fontId="4" fillId="0" borderId="3" xfId="2" applyNumberFormat="1" applyFont="1" applyBorder="1" applyAlignment="1">
      <alignment horizontal="center"/>
    </xf>
    <xf numFmtId="0" fontId="4" fillId="0" borderId="3" xfId="2" applyFont="1" applyBorder="1" applyAlignment="1">
      <alignment horizontal="justify"/>
    </xf>
    <xf numFmtId="2" fontId="2" fillId="2" borderId="3" xfId="0" applyNumberFormat="1" applyFont="1" applyFill="1" applyBorder="1"/>
    <xf numFmtId="0" fontId="4" fillId="0" borderId="3" xfId="0" applyFont="1" applyBorder="1" applyAlignment="1">
      <alignment horizontal="left"/>
    </xf>
    <xf numFmtId="0" fontId="6" fillId="0" borderId="3" xfId="0" applyFont="1" applyBorder="1" applyAlignment="1">
      <alignment horizontal="left"/>
    </xf>
    <xf numFmtId="0" fontId="4" fillId="5" borderId="3" xfId="0" applyFont="1" applyFill="1" applyBorder="1" applyAlignment="1">
      <alignment horizontal="left"/>
    </xf>
    <xf numFmtId="0" fontId="4" fillId="6" borderId="3" xfId="0" applyFont="1" applyFill="1" applyBorder="1" applyAlignment="1">
      <alignment horizontal="left"/>
    </xf>
    <xf numFmtId="0" fontId="4" fillId="7" borderId="1" xfId="2" applyFont="1" applyFill="1" applyBorder="1" applyAlignment="1">
      <alignment horizontal="center" vertical="center"/>
    </xf>
    <xf numFmtId="0" fontId="4" fillId="7" borderId="2" xfId="2" applyFont="1" applyFill="1" applyBorder="1" applyAlignment="1">
      <alignment horizontal="center" vertical="center"/>
    </xf>
    <xf numFmtId="0" fontId="4" fillId="7" borderId="4" xfId="2" applyFont="1" applyFill="1" applyBorder="1" applyAlignment="1">
      <alignment horizontal="center" vertical="center"/>
    </xf>
    <xf numFmtId="0" fontId="4" fillId="7" borderId="5" xfId="2" applyFont="1" applyFill="1" applyBorder="1" applyAlignment="1">
      <alignment horizontal="center" vertical="center"/>
    </xf>
    <xf numFmtId="0" fontId="4" fillId="7" borderId="7" xfId="2" applyFont="1" applyFill="1" applyBorder="1" applyAlignment="1">
      <alignment horizontal="center" vertical="center"/>
    </xf>
    <xf numFmtId="0" fontId="4" fillId="7" borderId="8" xfId="2" applyFont="1" applyFill="1" applyBorder="1" applyAlignment="1">
      <alignment horizontal="center" vertical="center"/>
    </xf>
    <xf numFmtId="0" fontId="4" fillId="7" borderId="10" xfId="2" applyFont="1" applyFill="1" applyBorder="1" applyAlignment="1">
      <alignment horizontal="center" vertical="center"/>
    </xf>
    <xf numFmtId="0" fontId="4" fillId="7" borderId="6" xfId="2" applyFont="1" applyFill="1" applyBorder="1" applyAlignment="1">
      <alignment horizontal="center" vertical="center"/>
    </xf>
    <xf numFmtId="0" fontId="4" fillId="7" borderId="9" xfId="2" applyFont="1" applyFill="1" applyBorder="1" applyAlignment="1">
      <alignment horizontal="center" vertical="center"/>
    </xf>
    <xf numFmtId="0" fontId="4" fillId="8" borderId="3" xfId="2" applyFont="1" applyFill="1" applyBorder="1" applyAlignment="1">
      <alignment horizontal="center" vertical="center"/>
    </xf>
    <xf numFmtId="0" fontId="3" fillId="8" borderId="3" xfId="2" applyFont="1" applyFill="1" applyBorder="1" applyAlignment="1">
      <alignment horizontal="center" vertical="center"/>
    </xf>
    <xf numFmtId="0" fontId="6" fillId="0" borderId="3" xfId="2" applyFont="1" applyBorder="1"/>
    <xf numFmtId="0" fontId="4" fillId="7" borderId="0" xfId="2" applyFont="1" applyFill="1" applyAlignment="1">
      <alignment horizontal="center" vertical="center"/>
    </xf>
    <xf numFmtId="0" fontId="4" fillId="0" borderId="0" xfId="2" applyFont="1" applyAlignment="1">
      <alignment horizontal="justify"/>
    </xf>
    <xf numFmtId="0" fontId="4" fillId="7" borderId="11" xfId="2" applyFont="1" applyFill="1" applyBorder="1" applyAlignment="1">
      <alignment vertical="center"/>
    </xf>
    <xf numFmtId="0" fontId="4" fillId="7" borderId="2" xfId="2" applyFont="1" applyFill="1" applyBorder="1" applyAlignment="1">
      <alignment vertical="center"/>
    </xf>
    <xf numFmtId="0" fontId="4" fillId="7" borderId="5" xfId="2" applyFont="1" applyFill="1" applyBorder="1" applyAlignment="1">
      <alignment vertical="center"/>
    </xf>
    <xf numFmtId="0" fontId="4" fillId="7" borderId="0" xfId="2" applyFont="1" applyFill="1" applyAlignment="1">
      <alignment vertical="center"/>
    </xf>
    <xf numFmtId="0" fontId="4" fillId="7" borderId="8" xfId="2" applyFont="1" applyFill="1" applyBorder="1" applyAlignment="1">
      <alignment vertical="center"/>
    </xf>
    <xf numFmtId="0" fontId="4" fillId="7" borderId="12" xfId="2" applyFont="1" applyFill="1" applyBorder="1" applyAlignment="1">
      <alignment vertical="center"/>
    </xf>
    <xf numFmtId="0" fontId="11" fillId="0" borderId="0" xfId="2" applyFont="1"/>
    <xf numFmtId="0" fontId="13" fillId="0" borderId="0" xfId="0" applyFont="1"/>
    <xf numFmtId="0" fontId="12" fillId="8" borderId="3" xfId="2" applyFont="1" applyFill="1" applyBorder="1" applyAlignment="1">
      <alignment horizontal="center" vertical="center"/>
    </xf>
    <xf numFmtId="0" fontId="12" fillId="8" borderId="0" xfId="2" applyFont="1" applyFill="1" applyAlignment="1">
      <alignment horizontal="center" vertical="center"/>
    </xf>
    <xf numFmtId="10" fontId="12" fillId="0" borderId="0" xfId="1" applyNumberFormat="1" applyFont="1"/>
    <xf numFmtId="0" fontId="14" fillId="2" borderId="3" xfId="2" applyFont="1" applyFill="1" applyBorder="1" applyAlignment="1">
      <alignment horizontal="left" vertical="center"/>
    </xf>
    <xf numFmtId="0" fontId="12" fillId="9" borderId="13" xfId="2" applyFont="1" applyFill="1" applyBorder="1" applyAlignment="1">
      <alignment horizontal="center" vertical="center"/>
    </xf>
    <xf numFmtId="0" fontId="4" fillId="0" borderId="3" xfId="0" applyFont="1" applyBorder="1" applyAlignment="1">
      <alignment horizontal="center" vertical="center"/>
    </xf>
    <xf numFmtId="0" fontId="2" fillId="0" borderId="3" xfId="0" applyFont="1" applyBorder="1" applyAlignment="1">
      <alignment horizontal="center"/>
    </xf>
    <xf numFmtId="0" fontId="3" fillId="0" borderId="0" xfId="2" applyFont="1" applyAlignment="1">
      <alignment wrapText="1"/>
    </xf>
    <xf numFmtId="0" fontId="12" fillId="8" borderId="3" xfId="2" applyFont="1" applyFill="1" applyBorder="1" applyAlignment="1">
      <alignment horizontal="center" vertical="center" wrapText="1"/>
    </xf>
    <xf numFmtId="0" fontId="4" fillId="7" borderId="1" xfId="2" applyFont="1" applyFill="1" applyBorder="1" applyAlignment="1">
      <alignment horizontal="center" vertical="center" wrapText="1"/>
    </xf>
    <xf numFmtId="0" fontId="4" fillId="7" borderId="4" xfId="2" applyFont="1" applyFill="1" applyBorder="1" applyAlignment="1">
      <alignment horizontal="center" vertical="center" wrapText="1"/>
    </xf>
    <xf numFmtId="0" fontId="4" fillId="7" borderId="7" xfId="2" applyFont="1" applyFill="1" applyBorder="1" applyAlignment="1">
      <alignment horizontal="center" vertical="center" wrapText="1"/>
    </xf>
    <xf numFmtId="0" fontId="4" fillId="0" borderId="3" xfId="2" applyFont="1" applyBorder="1" applyAlignment="1">
      <alignment wrapText="1"/>
    </xf>
    <xf numFmtId="0" fontId="4" fillId="2" borderId="3" xfId="2" applyFont="1" applyFill="1" applyBorder="1" applyAlignment="1">
      <alignment horizontal="left" wrapText="1"/>
    </xf>
    <xf numFmtId="0" fontId="4" fillId="0" borderId="3" xfId="2" applyFont="1" applyBorder="1" applyAlignment="1">
      <alignment horizontal="left" wrapText="1"/>
    </xf>
    <xf numFmtId="0" fontId="4" fillId="0" borderId="3" xfId="0" applyFont="1" applyBorder="1" applyAlignment="1">
      <alignment horizontal="left" wrapText="1"/>
    </xf>
    <xf numFmtId="0" fontId="6" fillId="0" borderId="3" xfId="0" applyFont="1" applyBorder="1" applyAlignment="1">
      <alignment horizontal="left" wrapText="1"/>
    </xf>
    <xf numFmtId="0" fontId="4" fillId="5" borderId="3" xfId="0" applyFont="1" applyFill="1" applyBorder="1" applyAlignment="1">
      <alignment horizontal="left" wrapText="1"/>
    </xf>
    <xf numFmtId="0" fontId="4" fillId="6" borderId="3" xfId="0" applyFont="1" applyFill="1" applyBorder="1" applyAlignment="1">
      <alignment horizontal="left" wrapText="1"/>
    </xf>
    <xf numFmtId="0" fontId="6" fillId="0" borderId="3" xfId="0" applyFont="1" applyBorder="1" applyAlignment="1">
      <alignment vertical="center" wrapText="1"/>
    </xf>
    <xf numFmtId="0" fontId="4" fillId="0" borderId="0" xfId="0" applyFont="1" applyAlignment="1">
      <alignment wrapText="1"/>
    </xf>
    <xf numFmtId="0" fontId="4" fillId="7" borderId="3" xfId="2" applyFont="1" applyFill="1" applyBorder="1" applyAlignment="1">
      <alignment horizontal="center" vertical="center"/>
    </xf>
    <xf numFmtId="0" fontId="11" fillId="0" borderId="6" xfId="2" applyFont="1" applyBorder="1" applyAlignment="1">
      <alignment horizontal="center" vertical="center"/>
    </xf>
    <xf numFmtId="2" fontId="2" fillId="0" borderId="3" xfId="0" applyNumberFormat="1" applyFont="1" applyBorder="1" applyAlignment="1">
      <alignment horizontal="center"/>
    </xf>
    <xf numFmtId="2" fontId="2" fillId="2" borderId="3" xfId="2" applyNumberFormat="1" applyFont="1" applyFill="1" applyBorder="1" applyAlignment="1">
      <alignment horizontal="right"/>
    </xf>
    <xf numFmtId="2" fontId="6" fillId="2" borderId="3" xfId="2" applyNumberFormat="1" applyFont="1" applyFill="1" applyBorder="1" applyAlignment="1">
      <alignment horizontal="right"/>
    </xf>
    <xf numFmtId="2" fontId="2" fillId="0" borderId="3" xfId="2" applyNumberFormat="1" applyFont="1" applyBorder="1" applyAlignment="1">
      <alignment horizontal="right"/>
    </xf>
    <xf numFmtId="2" fontId="6" fillId="0" borderId="3" xfId="2" applyNumberFormat="1" applyFont="1" applyBorder="1" applyAlignment="1">
      <alignment horizontal="right"/>
    </xf>
    <xf numFmtId="2" fontId="2" fillId="2" borderId="3" xfId="0" applyNumberFormat="1" applyFont="1" applyFill="1" applyBorder="1" applyAlignment="1">
      <alignment horizontal="right"/>
    </xf>
    <xf numFmtId="2" fontId="2" fillId="0" borderId="3" xfId="0" applyNumberFormat="1" applyFont="1" applyBorder="1" applyAlignment="1">
      <alignment horizontal="right"/>
    </xf>
  </cellXfs>
  <cellStyles count="3">
    <cellStyle name="Normal" xfId="0" builtinId="0"/>
    <cellStyle name="Normal 2" xfId="2" xr:uid="{40589876-2E44-4EF8-8287-3CC8585D9B3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500743</xdr:colOff>
      <xdr:row>0</xdr:row>
      <xdr:rowOff>54429</xdr:rowOff>
    </xdr:from>
    <xdr:to>
      <xdr:col>22</xdr:col>
      <xdr:colOff>544285</xdr:colOff>
      <xdr:row>4</xdr:row>
      <xdr:rowOff>141516</xdr:rowOff>
    </xdr:to>
    <xdr:sp macro="" textlink="">
      <xdr:nvSpPr>
        <xdr:cNvPr id="2" name="CuadroTexto 1">
          <a:extLst>
            <a:ext uri="{FF2B5EF4-FFF2-40B4-BE49-F238E27FC236}">
              <a16:creationId xmlns:a16="http://schemas.microsoft.com/office/drawing/2014/main" id="{9D70E483-CD68-4FC6-A3E7-730E56BA2DDF}"/>
            </a:ext>
          </a:extLst>
        </xdr:cNvPr>
        <xdr:cNvSpPr txBox="1"/>
      </xdr:nvSpPr>
      <xdr:spPr>
        <a:xfrm>
          <a:off x="10924903" y="54429"/>
          <a:ext cx="8600802" cy="803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BO" sz="1100" b="1">
              <a:latin typeface="Arial" panose="020B0604020202020204" pitchFamily="34" charset="0"/>
              <a:cs typeface="Arial" panose="020B0604020202020204" pitchFamily="34" charset="0"/>
            </a:rPr>
            <a:t>PRECIO DE VENTA CF = (( COSTO OPER</a:t>
          </a:r>
          <a:r>
            <a:rPr lang="es-BO" sz="1100" b="1" baseline="0">
              <a:latin typeface="Arial" panose="020B0604020202020204" pitchFamily="34" charset="0"/>
              <a:cs typeface="Arial" panose="020B0604020202020204" pitchFamily="34" charset="0"/>
            </a:rPr>
            <a:t> CF x 0,87 ) x 1,1) / 0,84</a:t>
          </a:r>
        </a:p>
        <a:p>
          <a:r>
            <a:rPr lang="es-BO" sz="1100" b="1" baseline="0">
              <a:latin typeface="Arial" panose="020B0604020202020204" pitchFamily="34" charset="0"/>
              <a:cs typeface="Arial" panose="020B0604020202020204" pitchFamily="34" charset="0"/>
            </a:rPr>
            <a:t>                                              	0,87 es descontando el 13% del IVA de compra.</a:t>
          </a:r>
        </a:p>
        <a:p>
          <a:r>
            <a:rPr lang="es-BO" sz="1100" b="1" baseline="0">
              <a:latin typeface="Arial" panose="020B0604020202020204" pitchFamily="34" charset="0"/>
              <a:cs typeface="Arial" panose="020B0604020202020204" pitchFamily="34" charset="0"/>
            </a:rPr>
            <a:t>		1,1 es el calculo del 10% de utilidad mas, al precio obtenido.</a:t>
          </a:r>
        </a:p>
        <a:p>
          <a:r>
            <a:rPr lang="es-BO" sz="1100" b="1" baseline="0">
              <a:latin typeface="Arial" panose="020B0604020202020204" pitchFamily="34" charset="0"/>
              <a:cs typeface="Arial" panose="020B0604020202020204" pitchFamily="34" charset="0"/>
            </a:rPr>
            <a:t>		0,84 es el aumento del precio por la recuperacion del IVA 13% y el IT 3%  de la factura a emitir.                             </a:t>
          </a:r>
          <a:endParaRPr lang="es-BO" sz="1100" b="1">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500743</xdr:colOff>
      <xdr:row>0</xdr:row>
      <xdr:rowOff>54429</xdr:rowOff>
    </xdr:from>
    <xdr:to>
      <xdr:col>32</xdr:col>
      <xdr:colOff>544285</xdr:colOff>
      <xdr:row>4</xdr:row>
      <xdr:rowOff>141516</xdr:rowOff>
    </xdr:to>
    <xdr:sp macro="" textlink="">
      <xdr:nvSpPr>
        <xdr:cNvPr id="2" name="CuadroTexto 1">
          <a:extLst>
            <a:ext uri="{FF2B5EF4-FFF2-40B4-BE49-F238E27FC236}">
              <a16:creationId xmlns:a16="http://schemas.microsoft.com/office/drawing/2014/main" id="{1D675133-B520-4889-B791-51A38D642DC5}"/>
            </a:ext>
          </a:extLst>
        </xdr:cNvPr>
        <xdr:cNvSpPr txBox="1"/>
      </xdr:nvSpPr>
      <xdr:spPr>
        <a:xfrm>
          <a:off x="16533223" y="54429"/>
          <a:ext cx="8997042" cy="9405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BO" sz="1100" b="1">
              <a:latin typeface="Arial" panose="020B0604020202020204" pitchFamily="34" charset="0"/>
              <a:cs typeface="Arial" panose="020B0604020202020204" pitchFamily="34" charset="0"/>
            </a:rPr>
            <a:t>PRECIO DE VENTA CF = (( COSTO OPER</a:t>
          </a:r>
          <a:r>
            <a:rPr lang="es-BO" sz="1100" b="1" baseline="0">
              <a:latin typeface="Arial" panose="020B0604020202020204" pitchFamily="34" charset="0"/>
              <a:cs typeface="Arial" panose="020B0604020202020204" pitchFamily="34" charset="0"/>
            </a:rPr>
            <a:t> CF x 0,87 ) x 1,1) / 0,84</a:t>
          </a:r>
        </a:p>
        <a:p>
          <a:r>
            <a:rPr lang="es-BO" sz="1100" b="1" baseline="0">
              <a:latin typeface="Arial" panose="020B0604020202020204" pitchFamily="34" charset="0"/>
              <a:cs typeface="Arial" panose="020B0604020202020204" pitchFamily="34" charset="0"/>
            </a:rPr>
            <a:t>                                              	0,87 es descontando el 13% del IVA de compra.</a:t>
          </a:r>
        </a:p>
        <a:p>
          <a:r>
            <a:rPr lang="es-BO" sz="1100" b="1" baseline="0">
              <a:latin typeface="Arial" panose="020B0604020202020204" pitchFamily="34" charset="0"/>
              <a:cs typeface="Arial" panose="020B0604020202020204" pitchFamily="34" charset="0"/>
            </a:rPr>
            <a:t>		1,1 es el calculo del 10% de utilidad mas, al precio obtenido.</a:t>
          </a:r>
        </a:p>
        <a:p>
          <a:r>
            <a:rPr lang="es-BO" sz="1100" b="1" baseline="0">
              <a:latin typeface="Arial" panose="020B0604020202020204" pitchFamily="34" charset="0"/>
              <a:cs typeface="Arial" panose="020B0604020202020204" pitchFamily="34" charset="0"/>
            </a:rPr>
            <a:t>		0,84 es el aumento del precio por la recuperacion del IVA 13% y el IT 3%  de la factura a emitir.                             </a:t>
          </a:r>
          <a:endParaRPr lang="es-BO" sz="1100" b="1">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93356-79CE-4C8B-B9F6-F910C3837076}">
  <sheetPr>
    <pageSetUpPr fitToPage="1"/>
  </sheetPr>
  <dimension ref="A1:O203"/>
  <sheetViews>
    <sheetView zoomScale="70" zoomScaleNormal="70" workbookViewId="0">
      <selection activeCell="C17" sqref="C17"/>
    </sheetView>
  </sheetViews>
  <sheetFormatPr baseColWidth="10" defaultRowHeight="15.6" x14ac:dyDescent="0.3"/>
  <cols>
    <col min="1" max="2" width="9.6640625" bestFit="1" customWidth="1"/>
    <col min="3" max="3" width="57.6640625" style="27" customWidth="1"/>
    <col min="4" max="4" width="8.5546875" style="28" bestFit="1" customWidth="1"/>
    <col min="5" max="6" width="11.44140625" style="20" bestFit="1" customWidth="1"/>
    <col min="7" max="10" width="11.6640625" style="27" bestFit="1" customWidth="1"/>
    <col min="11" max="11" width="78.6640625" style="29" customWidth="1"/>
    <col min="12" max="12" width="9.77734375" style="6" bestFit="1" customWidth="1"/>
    <col min="13" max="13" width="11.44140625" customWidth="1"/>
    <col min="17" max="17" width="16.88671875" bestFit="1" customWidth="1"/>
  </cols>
  <sheetData>
    <row r="1" spans="1:15" s="1" customFormat="1" ht="18" x14ac:dyDescent="0.35">
      <c r="C1" s="2" t="s">
        <v>0</v>
      </c>
      <c r="D1" s="3"/>
      <c r="G1" s="4"/>
      <c r="H1" s="4"/>
      <c r="I1" s="4"/>
      <c r="J1" s="4"/>
      <c r="K1" s="5"/>
      <c r="L1" s="6"/>
    </row>
    <row r="2" spans="1:15" s="1" customFormat="1" ht="18" x14ac:dyDescent="0.3">
      <c r="A2" s="56">
        <v>0</v>
      </c>
      <c r="B2" s="56">
        <v>1</v>
      </c>
      <c r="C2" s="57">
        <v>2</v>
      </c>
      <c r="D2" s="56">
        <v>3</v>
      </c>
      <c r="E2" s="56">
        <v>4</v>
      </c>
      <c r="F2" s="56">
        <v>5</v>
      </c>
      <c r="G2" s="56">
        <v>6</v>
      </c>
      <c r="H2" s="56">
        <v>7</v>
      </c>
      <c r="I2" s="56">
        <v>8</v>
      </c>
      <c r="J2" s="56">
        <v>9</v>
      </c>
      <c r="K2" s="56">
        <v>10</v>
      </c>
      <c r="L2" s="6"/>
    </row>
    <row r="3" spans="1:15" s="1" customFormat="1" x14ac:dyDescent="0.3">
      <c r="A3" s="47" t="s">
        <v>1</v>
      </c>
      <c r="B3" s="47" t="s">
        <v>1</v>
      </c>
      <c r="C3" s="47" t="s">
        <v>2</v>
      </c>
      <c r="D3" s="48" t="s">
        <v>3</v>
      </c>
      <c r="E3" s="90" t="s">
        <v>4</v>
      </c>
      <c r="F3" s="90"/>
      <c r="G3" s="48" t="s">
        <v>496</v>
      </c>
      <c r="H3" s="48" t="s">
        <v>496</v>
      </c>
      <c r="I3" s="48" t="s">
        <v>497</v>
      </c>
      <c r="J3" s="48" t="s">
        <v>497</v>
      </c>
      <c r="K3" s="53" t="s">
        <v>321</v>
      </c>
      <c r="L3" s="6"/>
    </row>
    <row r="4" spans="1:15" s="1" customFormat="1" x14ac:dyDescent="0.3">
      <c r="A4" s="49"/>
      <c r="B4" s="49" t="s">
        <v>320</v>
      </c>
      <c r="C4" s="49"/>
      <c r="D4" s="50"/>
      <c r="E4" s="49" t="s">
        <v>6</v>
      </c>
      <c r="F4" s="49" t="s">
        <v>319</v>
      </c>
      <c r="G4" s="50" t="s">
        <v>5</v>
      </c>
      <c r="H4" s="49" t="s">
        <v>208</v>
      </c>
      <c r="I4" s="50" t="s">
        <v>5</v>
      </c>
      <c r="J4" s="49" t="s">
        <v>208</v>
      </c>
      <c r="K4" s="54"/>
      <c r="L4" s="6"/>
    </row>
    <row r="5" spans="1:15" s="1" customFormat="1" x14ac:dyDescent="0.3">
      <c r="A5" s="51"/>
      <c r="B5" s="51"/>
      <c r="C5" s="51"/>
      <c r="D5" s="52"/>
      <c r="E5" s="51" t="s">
        <v>7</v>
      </c>
      <c r="F5" s="51" t="s">
        <v>7</v>
      </c>
      <c r="G5" s="52" t="s">
        <v>7</v>
      </c>
      <c r="H5" s="51" t="s">
        <v>7</v>
      </c>
      <c r="I5" s="52" t="s">
        <v>7</v>
      </c>
      <c r="J5" s="51" t="s">
        <v>7</v>
      </c>
      <c r="K5" s="55"/>
      <c r="L5" s="6"/>
    </row>
    <row r="6" spans="1:15" s="1" customFormat="1" x14ac:dyDescent="0.3">
      <c r="A6" s="32"/>
      <c r="B6" s="33"/>
      <c r="C6" s="34" t="s">
        <v>8</v>
      </c>
      <c r="D6" s="8"/>
      <c r="E6" s="9"/>
      <c r="F6" s="8"/>
      <c r="G6" s="7"/>
      <c r="H6" s="7"/>
      <c r="I6" s="7"/>
      <c r="J6" s="7"/>
      <c r="K6" s="31"/>
      <c r="L6" s="6"/>
      <c r="M6" s="30" t="s">
        <v>218</v>
      </c>
    </row>
    <row r="7" spans="1:15" s="1" customFormat="1" x14ac:dyDescent="0.3">
      <c r="A7" s="11" t="s">
        <v>9</v>
      </c>
      <c r="B7" s="11" t="s">
        <v>9</v>
      </c>
      <c r="C7" s="12" t="s">
        <v>322</v>
      </c>
      <c r="D7" s="35" t="s">
        <v>10</v>
      </c>
      <c r="E7" s="13">
        <v>2.9</v>
      </c>
      <c r="F7" s="13">
        <v>2.9</v>
      </c>
      <c r="G7" s="36">
        <f>ROUNDUP(E7*0.87*1.1/0.84,2)</f>
        <v>3.3099999999999996</v>
      </c>
      <c r="H7" s="36">
        <f>ROUNDUP(F7*1.1,2)</f>
        <v>3.19</v>
      </c>
      <c r="I7" s="36">
        <f>ROUNDUP(E7*0.87*1.15/0.84,2)</f>
        <v>3.46</v>
      </c>
      <c r="J7" s="36">
        <f>ROUNDUP(F7*1.15,2)</f>
        <v>3.34</v>
      </c>
      <c r="K7" s="14" t="s">
        <v>219</v>
      </c>
      <c r="L7" s="15">
        <f t="shared" ref="L7:L22" si="0">(-H7+G7)/G7</f>
        <v>3.6253776435045217E-2</v>
      </c>
      <c r="M7" s="1" t="s">
        <v>495</v>
      </c>
      <c r="N7" s="18"/>
      <c r="O7" s="18"/>
    </row>
    <row r="8" spans="1:15" s="1" customFormat="1" x14ac:dyDescent="0.3">
      <c r="A8" s="11" t="s">
        <v>11</v>
      </c>
      <c r="B8" s="11" t="s">
        <v>11</v>
      </c>
      <c r="C8" s="12" t="s">
        <v>323</v>
      </c>
      <c r="D8" s="35" t="s">
        <v>10</v>
      </c>
      <c r="E8" s="13">
        <v>6.24</v>
      </c>
      <c r="F8" s="13">
        <v>6</v>
      </c>
      <c r="G8" s="36">
        <f t="shared" ref="G8:G22" si="1">ROUNDUP(E8*0.87*1.1/0.84,2)</f>
        <v>7.1099999999999994</v>
      </c>
      <c r="H8" s="36">
        <f t="shared" ref="H8:H22" si="2">ROUNDUP(F8*1.1,2)</f>
        <v>6.6</v>
      </c>
      <c r="I8" s="36">
        <f t="shared" ref="I8:I22" si="3">ROUNDUP(E8*0.87*1.15/0.84,2)</f>
        <v>7.4399999999999995</v>
      </c>
      <c r="J8" s="36">
        <f t="shared" ref="J8:J22" si="4">ROUNDUP(F8*1.15,2)</f>
        <v>6.9</v>
      </c>
      <c r="K8" s="14" t="s">
        <v>219</v>
      </c>
      <c r="L8" s="15">
        <f t="shared" si="0"/>
        <v>7.1729957805907144E-2</v>
      </c>
      <c r="N8" s="18"/>
      <c r="O8" s="18"/>
    </row>
    <row r="9" spans="1:15" s="1" customFormat="1" x14ac:dyDescent="0.3">
      <c r="A9" s="11" t="s">
        <v>12</v>
      </c>
      <c r="B9" s="11" t="s">
        <v>12</v>
      </c>
      <c r="C9" s="16" t="s">
        <v>324</v>
      </c>
      <c r="D9" s="37" t="s">
        <v>13</v>
      </c>
      <c r="E9" s="19">
        <v>0.65</v>
      </c>
      <c r="F9" s="19">
        <v>0.65</v>
      </c>
      <c r="G9" s="38">
        <f t="shared" si="1"/>
        <v>0.75</v>
      </c>
      <c r="H9" s="38">
        <f t="shared" si="2"/>
        <v>0.72</v>
      </c>
      <c r="I9" s="38">
        <f t="shared" si="3"/>
        <v>0.78</v>
      </c>
      <c r="J9" s="38">
        <f t="shared" si="4"/>
        <v>0.75</v>
      </c>
      <c r="K9" s="17" t="s">
        <v>220</v>
      </c>
      <c r="L9" s="6">
        <f t="shared" si="0"/>
        <v>4.0000000000000036E-2</v>
      </c>
      <c r="N9" s="18"/>
      <c r="O9" s="18"/>
    </row>
    <row r="10" spans="1:15" s="1" customFormat="1" x14ac:dyDescent="0.3">
      <c r="A10" s="11" t="s">
        <v>14</v>
      </c>
      <c r="B10" s="11" t="s">
        <v>14</v>
      </c>
      <c r="C10" s="12" t="s">
        <v>325</v>
      </c>
      <c r="D10" s="35" t="s">
        <v>15</v>
      </c>
      <c r="E10" s="13">
        <v>0.79</v>
      </c>
      <c r="F10" s="13">
        <v>0.79</v>
      </c>
      <c r="G10" s="36">
        <f t="shared" si="1"/>
        <v>0.91</v>
      </c>
      <c r="H10" s="36">
        <f t="shared" si="2"/>
        <v>0.87</v>
      </c>
      <c r="I10" s="36">
        <f t="shared" si="3"/>
        <v>0.95</v>
      </c>
      <c r="J10" s="36">
        <f t="shared" si="4"/>
        <v>0.91</v>
      </c>
      <c r="K10" s="14" t="s">
        <v>221</v>
      </c>
      <c r="L10" s="15">
        <f t="shared" si="0"/>
        <v>4.3956043956043994E-2</v>
      </c>
      <c r="N10" s="18"/>
      <c r="O10" s="18"/>
    </row>
    <row r="11" spans="1:15" s="1" customFormat="1" x14ac:dyDescent="0.3">
      <c r="A11" s="11" t="s">
        <v>16</v>
      </c>
      <c r="B11" s="11" t="s">
        <v>16</v>
      </c>
      <c r="C11" s="12" t="s">
        <v>326</v>
      </c>
      <c r="D11" s="35" t="s">
        <v>15</v>
      </c>
      <c r="E11" s="13">
        <v>1.1399999999999999</v>
      </c>
      <c r="F11" s="13">
        <v>1.1399999999999999</v>
      </c>
      <c r="G11" s="36">
        <f t="shared" si="1"/>
        <v>1.3</v>
      </c>
      <c r="H11" s="36">
        <f t="shared" si="2"/>
        <v>1.26</v>
      </c>
      <c r="I11" s="36">
        <f t="shared" si="3"/>
        <v>1.36</v>
      </c>
      <c r="J11" s="36">
        <f t="shared" si="4"/>
        <v>1.32</v>
      </c>
      <c r="K11" s="14" t="s">
        <v>222</v>
      </c>
      <c r="L11" s="15">
        <f t="shared" si="0"/>
        <v>3.0769230769230795E-2</v>
      </c>
      <c r="N11" s="18"/>
      <c r="O11" s="18"/>
    </row>
    <row r="12" spans="1:15" s="1" customFormat="1" x14ac:dyDescent="0.3">
      <c r="A12" s="11" t="s">
        <v>17</v>
      </c>
      <c r="B12" s="11" t="s">
        <v>17</v>
      </c>
      <c r="C12" s="16" t="s">
        <v>327</v>
      </c>
      <c r="D12" s="37" t="s">
        <v>15</v>
      </c>
      <c r="E12" s="19">
        <v>8.0299999999999994</v>
      </c>
      <c r="F12" s="19">
        <v>7.71</v>
      </c>
      <c r="G12" s="38">
        <f t="shared" si="1"/>
        <v>9.15</v>
      </c>
      <c r="H12" s="38">
        <f t="shared" si="2"/>
        <v>8.49</v>
      </c>
      <c r="I12" s="38">
        <f t="shared" si="3"/>
        <v>9.57</v>
      </c>
      <c r="J12" s="38">
        <f t="shared" si="4"/>
        <v>8.8699999999999992</v>
      </c>
      <c r="K12" s="14" t="s">
        <v>223</v>
      </c>
      <c r="L12" s="6">
        <f t="shared" si="0"/>
        <v>7.2131147540983626E-2</v>
      </c>
      <c r="N12" s="18"/>
      <c r="O12" s="18"/>
    </row>
    <row r="13" spans="1:15" s="1" customFormat="1" x14ac:dyDescent="0.3">
      <c r="A13" s="11" t="s">
        <v>18</v>
      </c>
      <c r="B13" s="11" t="s">
        <v>18</v>
      </c>
      <c r="C13" s="16" t="s">
        <v>328</v>
      </c>
      <c r="D13" s="37" t="s">
        <v>15</v>
      </c>
      <c r="E13" s="19">
        <v>4.83</v>
      </c>
      <c r="F13" s="19">
        <v>4.6399999999999997</v>
      </c>
      <c r="G13" s="38">
        <f t="shared" si="1"/>
        <v>5.51</v>
      </c>
      <c r="H13" s="38">
        <f t="shared" si="2"/>
        <v>5.1099999999999994</v>
      </c>
      <c r="I13" s="38">
        <f t="shared" si="3"/>
        <v>5.76</v>
      </c>
      <c r="J13" s="38">
        <f t="shared" si="4"/>
        <v>5.34</v>
      </c>
      <c r="K13" s="14" t="s">
        <v>224</v>
      </c>
      <c r="L13" s="6">
        <f t="shared" si="0"/>
        <v>7.2595281306715137E-2</v>
      </c>
      <c r="N13" s="18"/>
      <c r="O13" s="18"/>
    </row>
    <row r="14" spans="1:15" s="1" customFormat="1" x14ac:dyDescent="0.3">
      <c r="A14" s="11" t="s">
        <v>19</v>
      </c>
      <c r="B14" s="11" t="s">
        <v>19</v>
      </c>
      <c r="C14" s="12" t="s">
        <v>329</v>
      </c>
      <c r="D14" s="35" t="s">
        <v>15</v>
      </c>
      <c r="E14" s="13">
        <v>5.24</v>
      </c>
      <c r="F14" s="13">
        <v>5.24</v>
      </c>
      <c r="G14" s="36">
        <f t="shared" si="1"/>
        <v>5.97</v>
      </c>
      <c r="H14" s="36">
        <f t="shared" si="2"/>
        <v>5.77</v>
      </c>
      <c r="I14" s="36">
        <f t="shared" si="3"/>
        <v>6.25</v>
      </c>
      <c r="J14" s="36">
        <f t="shared" si="4"/>
        <v>6.0299999999999994</v>
      </c>
      <c r="K14" s="14" t="s">
        <v>225</v>
      </c>
      <c r="L14" s="15">
        <f t="shared" si="0"/>
        <v>3.3500837520938055E-2</v>
      </c>
      <c r="N14" s="18"/>
      <c r="O14" s="18"/>
    </row>
    <row r="15" spans="1:15" s="1" customFormat="1" x14ac:dyDescent="0.3">
      <c r="A15" s="11" t="s">
        <v>20</v>
      </c>
      <c r="B15" s="11" t="s">
        <v>20</v>
      </c>
      <c r="C15" s="12" t="s">
        <v>330</v>
      </c>
      <c r="D15" s="35" t="s">
        <v>15</v>
      </c>
      <c r="E15" s="13">
        <v>3.53</v>
      </c>
      <c r="F15" s="13">
        <v>3.53</v>
      </c>
      <c r="G15" s="36">
        <f t="shared" si="1"/>
        <v>4.0299999999999994</v>
      </c>
      <c r="H15" s="36">
        <f t="shared" si="2"/>
        <v>3.8899999999999997</v>
      </c>
      <c r="I15" s="36">
        <f t="shared" si="3"/>
        <v>4.21</v>
      </c>
      <c r="J15" s="36">
        <f t="shared" si="4"/>
        <v>4.0599999999999996</v>
      </c>
      <c r="K15" s="14" t="s">
        <v>226</v>
      </c>
      <c r="L15" s="15">
        <f t="shared" si="0"/>
        <v>3.4739454094292729E-2</v>
      </c>
      <c r="N15" s="18"/>
      <c r="O15" s="18"/>
    </row>
    <row r="16" spans="1:15" s="1" customFormat="1" x14ac:dyDescent="0.3">
      <c r="A16" s="11" t="s">
        <v>21</v>
      </c>
      <c r="B16" s="11" t="s">
        <v>21</v>
      </c>
      <c r="C16" s="12" t="s">
        <v>331</v>
      </c>
      <c r="D16" s="35" t="s">
        <v>15</v>
      </c>
      <c r="E16" s="13">
        <v>7.29</v>
      </c>
      <c r="F16" s="13">
        <v>7.29</v>
      </c>
      <c r="G16" s="36">
        <f t="shared" si="1"/>
        <v>8.31</v>
      </c>
      <c r="H16" s="36">
        <f t="shared" si="2"/>
        <v>8.02</v>
      </c>
      <c r="I16" s="36">
        <f t="shared" si="3"/>
        <v>8.69</v>
      </c>
      <c r="J16" s="36">
        <f t="shared" si="4"/>
        <v>8.39</v>
      </c>
      <c r="K16" s="14" t="s">
        <v>227</v>
      </c>
      <c r="L16" s="15">
        <f t="shared" si="0"/>
        <v>3.4897713598074719E-2</v>
      </c>
      <c r="N16" s="18"/>
      <c r="O16" s="18"/>
    </row>
    <row r="17" spans="1:15" s="1" customFormat="1" x14ac:dyDescent="0.3">
      <c r="A17" s="11" t="s">
        <v>22</v>
      </c>
      <c r="B17" s="11" t="s">
        <v>22</v>
      </c>
      <c r="C17" s="16" t="s">
        <v>332</v>
      </c>
      <c r="D17" s="37" t="s">
        <v>15</v>
      </c>
      <c r="E17" s="19">
        <v>0.15</v>
      </c>
      <c r="F17" s="19">
        <v>0.15</v>
      </c>
      <c r="G17" s="38">
        <f t="shared" si="1"/>
        <v>0.18000000000000002</v>
      </c>
      <c r="H17" s="38">
        <f t="shared" si="2"/>
        <v>0.17</v>
      </c>
      <c r="I17" s="38">
        <f t="shared" si="3"/>
        <v>0.18000000000000002</v>
      </c>
      <c r="J17" s="38">
        <f t="shared" si="4"/>
        <v>0.18000000000000002</v>
      </c>
      <c r="K17" s="17" t="s">
        <v>228</v>
      </c>
      <c r="L17" s="6">
        <f t="shared" si="0"/>
        <v>5.5555555555555601E-2</v>
      </c>
      <c r="N17" s="18"/>
      <c r="O17" s="18"/>
    </row>
    <row r="18" spans="1:15" s="1" customFormat="1" x14ac:dyDescent="0.3">
      <c r="A18" s="11" t="s">
        <v>23</v>
      </c>
      <c r="B18" s="11" t="s">
        <v>23</v>
      </c>
      <c r="C18" s="16" t="s">
        <v>333</v>
      </c>
      <c r="D18" s="37" t="s">
        <v>24</v>
      </c>
      <c r="E18" s="19">
        <v>0.03</v>
      </c>
      <c r="F18" s="19">
        <v>0.03</v>
      </c>
      <c r="G18" s="38">
        <f t="shared" si="1"/>
        <v>0.04</v>
      </c>
      <c r="H18" s="38">
        <f t="shared" si="2"/>
        <v>0.04</v>
      </c>
      <c r="I18" s="38">
        <f t="shared" si="3"/>
        <v>0.04</v>
      </c>
      <c r="J18" s="38">
        <f t="shared" si="4"/>
        <v>0.04</v>
      </c>
      <c r="K18" s="17" t="s">
        <v>229</v>
      </c>
      <c r="L18" s="6">
        <f t="shared" si="0"/>
        <v>0</v>
      </c>
      <c r="N18" s="18"/>
      <c r="O18" s="18"/>
    </row>
    <row r="19" spans="1:15" s="1" customFormat="1" x14ac:dyDescent="0.3">
      <c r="A19" s="11" t="s">
        <v>25</v>
      </c>
      <c r="B19" s="11" t="s">
        <v>25</v>
      </c>
      <c r="C19" s="16" t="s">
        <v>334</v>
      </c>
      <c r="D19" s="37" t="s">
        <v>24</v>
      </c>
      <c r="E19" s="19">
        <v>0.03</v>
      </c>
      <c r="F19" s="19">
        <v>0.03</v>
      </c>
      <c r="G19" s="38">
        <f t="shared" si="1"/>
        <v>0.04</v>
      </c>
      <c r="H19" s="38">
        <f t="shared" si="2"/>
        <v>0.04</v>
      </c>
      <c r="I19" s="38">
        <f t="shared" si="3"/>
        <v>0.04</v>
      </c>
      <c r="J19" s="38">
        <f t="shared" si="4"/>
        <v>0.04</v>
      </c>
      <c r="K19" s="17" t="s">
        <v>229</v>
      </c>
      <c r="L19" s="6">
        <f t="shared" si="0"/>
        <v>0</v>
      </c>
      <c r="N19" s="18"/>
      <c r="O19" s="18"/>
    </row>
    <row r="20" spans="1:15" s="1" customFormat="1" x14ac:dyDescent="0.3">
      <c r="A20" s="11" t="s">
        <v>26</v>
      </c>
      <c r="B20" s="11" t="s">
        <v>26</v>
      </c>
      <c r="C20" s="16" t="s">
        <v>335</v>
      </c>
      <c r="D20" s="37" t="s">
        <v>24</v>
      </c>
      <c r="E20" s="19">
        <v>0.03</v>
      </c>
      <c r="F20" s="19">
        <v>0.03</v>
      </c>
      <c r="G20" s="38">
        <f t="shared" si="1"/>
        <v>0.04</v>
      </c>
      <c r="H20" s="38">
        <f t="shared" si="2"/>
        <v>0.04</v>
      </c>
      <c r="I20" s="38">
        <f t="shared" si="3"/>
        <v>0.04</v>
      </c>
      <c r="J20" s="38">
        <f t="shared" si="4"/>
        <v>0.04</v>
      </c>
      <c r="K20" s="17" t="s">
        <v>229</v>
      </c>
      <c r="L20" s="6">
        <f t="shared" si="0"/>
        <v>0</v>
      </c>
      <c r="N20" s="18"/>
      <c r="O20" s="18"/>
    </row>
    <row r="21" spans="1:15" s="1" customFormat="1" x14ac:dyDescent="0.3">
      <c r="A21" s="11" t="s">
        <v>27</v>
      </c>
      <c r="B21" s="11" t="s">
        <v>27</v>
      </c>
      <c r="C21" s="16" t="s">
        <v>336</v>
      </c>
      <c r="D21" s="37" t="s">
        <v>24</v>
      </c>
      <c r="E21" s="19">
        <v>0.02</v>
      </c>
      <c r="F21" s="19">
        <v>0.02</v>
      </c>
      <c r="G21" s="38">
        <f t="shared" si="1"/>
        <v>0.03</v>
      </c>
      <c r="H21" s="38">
        <f t="shared" si="2"/>
        <v>0.03</v>
      </c>
      <c r="I21" s="38">
        <f t="shared" si="3"/>
        <v>0.03</v>
      </c>
      <c r="J21" s="38">
        <f t="shared" si="4"/>
        <v>0.03</v>
      </c>
      <c r="K21" s="17" t="s">
        <v>229</v>
      </c>
      <c r="L21" s="6">
        <f t="shared" si="0"/>
        <v>0</v>
      </c>
      <c r="N21" s="18"/>
      <c r="O21" s="18"/>
    </row>
    <row r="22" spans="1:15" s="1" customFormat="1" x14ac:dyDescent="0.3">
      <c r="A22" s="11" t="s">
        <v>28</v>
      </c>
      <c r="B22" s="11" t="s">
        <v>28</v>
      </c>
      <c r="C22" s="16" t="s">
        <v>337</v>
      </c>
      <c r="D22" s="37" t="s">
        <v>15</v>
      </c>
      <c r="E22" s="19">
        <v>26.25</v>
      </c>
      <c r="F22" s="19">
        <v>25.2</v>
      </c>
      <c r="G22" s="38">
        <f t="shared" si="1"/>
        <v>29.91</v>
      </c>
      <c r="H22" s="38">
        <f t="shared" si="2"/>
        <v>27.72</v>
      </c>
      <c r="I22" s="38">
        <f t="shared" si="3"/>
        <v>31.270000000000003</v>
      </c>
      <c r="J22" s="38">
        <f t="shared" si="4"/>
        <v>28.98</v>
      </c>
      <c r="K22" s="14" t="s">
        <v>230</v>
      </c>
      <c r="L22" s="6">
        <f t="shared" si="0"/>
        <v>7.3219658976930835E-2</v>
      </c>
      <c r="N22" s="18"/>
      <c r="O22" s="18"/>
    </row>
    <row r="23" spans="1:15" s="1" customFormat="1" ht="21" x14ac:dyDescent="0.4">
      <c r="A23" s="10"/>
      <c r="B23" s="10"/>
      <c r="C23" s="39" t="s">
        <v>29</v>
      </c>
      <c r="D23" s="7"/>
      <c r="E23" s="40"/>
      <c r="F23" s="40"/>
      <c r="G23" s="38"/>
      <c r="H23" s="38"/>
      <c r="I23" s="38"/>
      <c r="J23" s="38"/>
      <c r="K23" s="41"/>
      <c r="L23" s="6"/>
      <c r="N23" s="18"/>
      <c r="O23" s="18"/>
    </row>
    <row r="24" spans="1:15" s="1" customFormat="1" x14ac:dyDescent="0.3">
      <c r="A24" s="11" t="s">
        <v>30</v>
      </c>
      <c r="B24" s="11" t="s">
        <v>30</v>
      </c>
      <c r="C24" s="12" t="s">
        <v>338</v>
      </c>
      <c r="D24" s="35" t="s">
        <v>31</v>
      </c>
      <c r="E24" s="42">
        <v>31.5</v>
      </c>
      <c r="F24" s="42">
        <v>31.5</v>
      </c>
      <c r="G24" s="36">
        <f t="shared" ref="G24:G84" si="5">ROUNDUP(E24*0.87*1.1/0.84,2)</f>
        <v>35.89</v>
      </c>
      <c r="H24" s="36">
        <f t="shared" ref="H24:H84" si="6">ROUNDUP(F24*1.1,2)</f>
        <v>34.65</v>
      </c>
      <c r="I24" s="36">
        <f t="shared" ref="I24:I84" si="7">ROUNDUP(E24*0.87*1.15/0.84,2)</f>
        <v>37.519999999999996</v>
      </c>
      <c r="J24" s="36">
        <f t="shared" ref="J24:J84" si="8">ROUNDUP(F24*1.15,2)</f>
        <v>36.229999999999997</v>
      </c>
      <c r="K24" s="14" t="s">
        <v>231</v>
      </c>
      <c r="L24" s="15">
        <f t="shared" ref="L24:L55" si="9">(-H24+G24)/G24</f>
        <v>3.4550013931457284E-2</v>
      </c>
      <c r="N24" s="18"/>
      <c r="O24" s="18"/>
    </row>
    <row r="25" spans="1:15" s="1" customFormat="1" x14ac:dyDescent="0.3">
      <c r="A25" s="11" t="s">
        <v>32</v>
      </c>
      <c r="B25" s="11" t="s">
        <v>32</v>
      </c>
      <c r="C25" s="12" t="s">
        <v>339</v>
      </c>
      <c r="D25" s="35" t="s">
        <v>31</v>
      </c>
      <c r="E25" s="42">
        <v>30.45</v>
      </c>
      <c r="F25" s="42">
        <v>30.45</v>
      </c>
      <c r="G25" s="36">
        <f t="shared" si="5"/>
        <v>34.699999999999996</v>
      </c>
      <c r="H25" s="36">
        <f t="shared" si="6"/>
        <v>33.5</v>
      </c>
      <c r="I25" s="36">
        <f t="shared" si="7"/>
        <v>36.269999999999996</v>
      </c>
      <c r="J25" s="36">
        <f t="shared" si="8"/>
        <v>35.019999999999996</v>
      </c>
      <c r="K25" s="14" t="s">
        <v>232</v>
      </c>
      <c r="L25" s="15">
        <f t="shared" si="9"/>
        <v>3.4582132564841377E-2</v>
      </c>
      <c r="N25" s="18"/>
      <c r="O25" s="18"/>
    </row>
    <row r="26" spans="1:15" s="1" customFormat="1" x14ac:dyDescent="0.3">
      <c r="A26" s="11" t="s">
        <v>33</v>
      </c>
      <c r="B26" s="11" t="s">
        <v>33</v>
      </c>
      <c r="C26" s="16" t="s">
        <v>340</v>
      </c>
      <c r="D26" s="37" t="s">
        <v>31</v>
      </c>
      <c r="E26" s="21">
        <v>26</v>
      </c>
      <c r="F26" s="21">
        <v>25</v>
      </c>
      <c r="G26" s="38">
        <f t="shared" si="5"/>
        <v>29.630000000000003</v>
      </c>
      <c r="H26" s="38">
        <f t="shared" si="6"/>
        <v>27.5</v>
      </c>
      <c r="I26" s="38">
        <f t="shared" si="7"/>
        <v>30.970000000000002</v>
      </c>
      <c r="J26" s="38">
        <f t="shared" si="8"/>
        <v>28.75</v>
      </c>
      <c r="K26" s="17" t="s">
        <v>233</v>
      </c>
      <c r="L26" s="6">
        <f t="shared" si="9"/>
        <v>7.1886601417482363E-2</v>
      </c>
      <c r="N26" s="18"/>
      <c r="O26" s="18"/>
    </row>
    <row r="27" spans="1:15" s="1" customFormat="1" x14ac:dyDescent="0.3">
      <c r="A27" s="11" t="s">
        <v>34</v>
      </c>
      <c r="B27" s="11" t="s">
        <v>34</v>
      </c>
      <c r="C27" s="16" t="s">
        <v>341</v>
      </c>
      <c r="D27" s="37" t="s">
        <v>31</v>
      </c>
      <c r="E27" s="21">
        <v>24</v>
      </c>
      <c r="F27" s="21">
        <v>24</v>
      </c>
      <c r="G27" s="38">
        <f t="shared" si="5"/>
        <v>27.35</v>
      </c>
      <c r="H27" s="38">
        <f t="shared" si="6"/>
        <v>26.4</v>
      </c>
      <c r="I27" s="38">
        <f t="shared" si="7"/>
        <v>28.59</v>
      </c>
      <c r="J27" s="38">
        <f t="shared" si="8"/>
        <v>27.6</v>
      </c>
      <c r="K27" s="17" t="s">
        <v>233</v>
      </c>
      <c r="L27" s="6">
        <f t="shared" si="9"/>
        <v>3.4734917733089683E-2</v>
      </c>
      <c r="N27" s="18"/>
      <c r="O27" s="18"/>
    </row>
    <row r="28" spans="1:15" s="1" customFormat="1" x14ac:dyDescent="0.3">
      <c r="A28" s="11" t="s">
        <v>35</v>
      </c>
      <c r="B28" s="11" t="s">
        <v>35</v>
      </c>
      <c r="C28" s="16" t="s">
        <v>342</v>
      </c>
      <c r="D28" s="37" t="s">
        <v>31</v>
      </c>
      <c r="E28" s="21">
        <v>21</v>
      </c>
      <c r="F28" s="21">
        <v>21</v>
      </c>
      <c r="G28" s="38">
        <f t="shared" si="5"/>
        <v>23.930000000000003</v>
      </c>
      <c r="H28" s="38">
        <f t="shared" si="6"/>
        <v>23.1</v>
      </c>
      <c r="I28" s="38">
        <f t="shared" si="7"/>
        <v>25.020000000000003</v>
      </c>
      <c r="J28" s="38">
        <f t="shared" si="8"/>
        <v>24.15</v>
      </c>
      <c r="K28" s="17" t="s">
        <v>233</v>
      </c>
      <c r="L28" s="6">
        <f t="shared" si="9"/>
        <v>3.4684496447973327E-2</v>
      </c>
      <c r="N28" s="18"/>
      <c r="O28" s="18"/>
    </row>
    <row r="29" spans="1:15" s="1" customFormat="1" x14ac:dyDescent="0.3">
      <c r="A29" s="11" t="s">
        <v>36</v>
      </c>
      <c r="B29" s="11" t="s">
        <v>36</v>
      </c>
      <c r="C29" s="12" t="s">
        <v>343</v>
      </c>
      <c r="D29" s="35" t="s">
        <v>31</v>
      </c>
      <c r="E29" s="42">
        <v>40.950000000000003</v>
      </c>
      <c r="F29" s="42">
        <v>40.950000000000003</v>
      </c>
      <c r="G29" s="36">
        <f t="shared" si="5"/>
        <v>46.66</v>
      </c>
      <c r="H29" s="36">
        <f t="shared" si="6"/>
        <v>45.05</v>
      </c>
      <c r="I29" s="36">
        <f t="shared" si="7"/>
        <v>48.78</v>
      </c>
      <c r="J29" s="36">
        <f t="shared" si="8"/>
        <v>47.1</v>
      </c>
      <c r="K29" s="14" t="s">
        <v>234</v>
      </c>
      <c r="L29" s="15">
        <f t="shared" si="9"/>
        <v>3.4504929275610795E-2</v>
      </c>
      <c r="N29" s="18"/>
      <c r="O29" s="18"/>
    </row>
    <row r="30" spans="1:15" s="1" customFormat="1" x14ac:dyDescent="0.3">
      <c r="A30" s="11" t="s">
        <v>37</v>
      </c>
      <c r="B30" s="11" t="s">
        <v>37</v>
      </c>
      <c r="C30" s="12" t="s">
        <v>344</v>
      </c>
      <c r="D30" s="35" t="s">
        <v>31</v>
      </c>
      <c r="E30" s="42">
        <v>39.9</v>
      </c>
      <c r="F30" s="42">
        <v>39.9</v>
      </c>
      <c r="G30" s="36">
        <f t="shared" si="5"/>
        <v>45.46</v>
      </c>
      <c r="H30" s="36">
        <f t="shared" si="6"/>
        <v>43.89</v>
      </c>
      <c r="I30" s="36">
        <f t="shared" si="7"/>
        <v>47.53</v>
      </c>
      <c r="J30" s="36">
        <f t="shared" si="8"/>
        <v>45.89</v>
      </c>
      <c r="K30" s="14" t="s">
        <v>235</v>
      </c>
      <c r="L30" s="15">
        <f t="shared" si="9"/>
        <v>3.4535855697316327E-2</v>
      </c>
      <c r="N30" s="18"/>
      <c r="O30" s="18"/>
    </row>
    <row r="31" spans="1:15" s="1" customFormat="1" x14ac:dyDescent="0.3">
      <c r="A31" s="11" t="s">
        <v>38</v>
      </c>
      <c r="B31" s="11" t="s">
        <v>38</v>
      </c>
      <c r="C31" s="16" t="s">
        <v>345</v>
      </c>
      <c r="D31" s="37" t="s">
        <v>31</v>
      </c>
      <c r="E31" s="21">
        <v>42</v>
      </c>
      <c r="F31" s="21">
        <v>40</v>
      </c>
      <c r="G31" s="38">
        <f t="shared" si="5"/>
        <v>47.85</v>
      </c>
      <c r="H31" s="38">
        <f t="shared" si="6"/>
        <v>44</v>
      </c>
      <c r="I31" s="38">
        <f t="shared" si="7"/>
        <v>50.03</v>
      </c>
      <c r="J31" s="38">
        <f t="shared" si="8"/>
        <v>46</v>
      </c>
      <c r="K31" s="17" t="s">
        <v>233</v>
      </c>
      <c r="L31" s="6">
        <f t="shared" si="9"/>
        <v>8.0459770114942555E-2</v>
      </c>
      <c r="N31" s="18"/>
      <c r="O31" s="18"/>
    </row>
    <row r="32" spans="1:15" s="1" customFormat="1" x14ac:dyDescent="0.3">
      <c r="A32" s="11" t="s">
        <v>39</v>
      </c>
      <c r="B32" s="11" t="s">
        <v>39</v>
      </c>
      <c r="C32" s="16" t="s">
        <v>346</v>
      </c>
      <c r="D32" s="37" t="s">
        <v>31</v>
      </c>
      <c r="E32" s="19">
        <v>40</v>
      </c>
      <c r="F32" s="19">
        <v>38</v>
      </c>
      <c r="G32" s="38">
        <f t="shared" si="5"/>
        <v>45.58</v>
      </c>
      <c r="H32" s="38">
        <f t="shared" si="6"/>
        <v>41.8</v>
      </c>
      <c r="I32" s="38">
        <f t="shared" si="7"/>
        <v>47.65</v>
      </c>
      <c r="J32" s="38">
        <f t="shared" si="8"/>
        <v>43.7</v>
      </c>
      <c r="K32" s="17" t="s">
        <v>233</v>
      </c>
      <c r="L32" s="6">
        <f t="shared" si="9"/>
        <v>8.2931110136024597E-2</v>
      </c>
      <c r="N32" s="18"/>
      <c r="O32" s="18"/>
    </row>
    <row r="33" spans="1:15" s="1" customFormat="1" x14ac:dyDescent="0.3">
      <c r="A33" s="11" t="s">
        <v>40</v>
      </c>
      <c r="B33" s="11" t="s">
        <v>40</v>
      </c>
      <c r="C33" s="16" t="s">
        <v>347</v>
      </c>
      <c r="D33" s="37" t="s">
        <v>31</v>
      </c>
      <c r="E33" s="19">
        <v>38</v>
      </c>
      <c r="F33" s="19">
        <v>36</v>
      </c>
      <c r="G33" s="38">
        <f t="shared" si="5"/>
        <v>43.3</v>
      </c>
      <c r="H33" s="38">
        <f t="shared" si="6"/>
        <v>39.6</v>
      </c>
      <c r="I33" s="38">
        <f t="shared" si="7"/>
        <v>45.269999999999996</v>
      </c>
      <c r="J33" s="38">
        <f t="shared" si="8"/>
        <v>41.4</v>
      </c>
      <c r="K33" s="17" t="s">
        <v>233</v>
      </c>
      <c r="L33" s="6">
        <f t="shared" si="9"/>
        <v>8.5450346420323231E-2</v>
      </c>
      <c r="N33" s="18"/>
      <c r="O33" s="18"/>
    </row>
    <row r="34" spans="1:15" s="1" customFormat="1" x14ac:dyDescent="0.3">
      <c r="A34" s="11" t="s">
        <v>41</v>
      </c>
      <c r="B34" s="11" t="s">
        <v>41</v>
      </c>
      <c r="C34" s="16" t="s">
        <v>348</v>
      </c>
      <c r="D34" s="37" t="s">
        <v>31</v>
      </c>
      <c r="E34" s="19">
        <v>44</v>
      </c>
      <c r="F34" s="19">
        <v>44</v>
      </c>
      <c r="G34" s="38">
        <f t="shared" si="5"/>
        <v>50.129999999999995</v>
      </c>
      <c r="H34" s="38">
        <f t="shared" si="6"/>
        <v>48.4</v>
      </c>
      <c r="I34" s="38">
        <f t="shared" si="7"/>
        <v>52.41</v>
      </c>
      <c r="J34" s="38">
        <f t="shared" si="8"/>
        <v>50.6</v>
      </c>
      <c r="K34" s="17" t="s">
        <v>233</v>
      </c>
      <c r="L34" s="6">
        <f t="shared" si="9"/>
        <v>3.4510273289447377E-2</v>
      </c>
      <c r="N34" s="18"/>
      <c r="O34" s="18"/>
    </row>
    <row r="35" spans="1:15" s="1" customFormat="1" x14ac:dyDescent="0.3">
      <c r="A35" s="11" t="s">
        <v>42</v>
      </c>
      <c r="B35" s="11" t="s">
        <v>42</v>
      </c>
      <c r="C35" s="16" t="s">
        <v>349</v>
      </c>
      <c r="D35" s="37" t="s">
        <v>31</v>
      </c>
      <c r="E35" s="19">
        <v>46</v>
      </c>
      <c r="F35" s="19">
        <v>46</v>
      </c>
      <c r="G35" s="38">
        <f t="shared" si="5"/>
        <v>52.41</v>
      </c>
      <c r="H35" s="38">
        <f t="shared" si="6"/>
        <v>50.6</v>
      </c>
      <c r="I35" s="38">
        <f t="shared" si="7"/>
        <v>54.79</v>
      </c>
      <c r="J35" s="38">
        <f t="shared" si="8"/>
        <v>52.9</v>
      </c>
      <c r="K35" s="17" t="s">
        <v>236</v>
      </c>
      <c r="L35" s="6">
        <f t="shared" si="9"/>
        <v>3.4535394008776858E-2</v>
      </c>
      <c r="N35" s="18"/>
      <c r="O35" s="18"/>
    </row>
    <row r="36" spans="1:15" s="1" customFormat="1" ht="27" x14ac:dyDescent="0.3">
      <c r="A36" s="11" t="s">
        <v>43</v>
      </c>
      <c r="B36" s="11" t="s">
        <v>43</v>
      </c>
      <c r="C36" s="12" t="s">
        <v>350</v>
      </c>
      <c r="D36" s="35" t="s">
        <v>15</v>
      </c>
      <c r="E36" s="13">
        <v>9.48</v>
      </c>
      <c r="F36" s="13">
        <v>9.48</v>
      </c>
      <c r="G36" s="36">
        <f t="shared" si="5"/>
        <v>10.81</v>
      </c>
      <c r="H36" s="36">
        <f t="shared" si="6"/>
        <v>10.43</v>
      </c>
      <c r="I36" s="36">
        <f t="shared" si="7"/>
        <v>11.299999999999999</v>
      </c>
      <c r="J36" s="36">
        <f t="shared" si="8"/>
        <v>10.91</v>
      </c>
      <c r="K36" s="14" t="s">
        <v>237</v>
      </c>
      <c r="L36" s="15">
        <f t="shared" si="9"/>
        <v>3.515263644773365E-2</v>
      </c>
      <c r="N36" s="18"/>
      <c r="O36" s="18"/>
    </row>
    <row r="37" spans="1:15" s="1" customFormat="1" ht="27" x14ac:dyDescent="0.3">
      <c r="A37" s="11" t="s">
        <v>44</v>
      </c>
      <c r="B37" s="11" t="s">
        <v>44</v>
      </c>
      <c r="C37" s="12" t="s">
        <v>351</v>
      </c>
      <c r="D37" s="35" t="s">
        <v>45</v>
      </c>
      <c r="E37" s="13">
        <v>8.629999999999999</v>
      </c>
      <c r="F37" s="13">
        <v>8.629999999999999</v>
      </c>
      <c r="G37" s="36">
        <f t="shared" si="5"/>
        <v>9.84</v>
      </c>
      <c r="H37" s="36">
        <f t="shared" si="6"/>
        <v>9.5</v>
      </c>
      <c r="I37" s="36">
        <f t="shared" si="7"/>
        <v>10.28</v>
      </c>
      <c r="J37" s="36">
        <f t="shared" si="8"/>
        <v>9.93</v>
      </c>
      <c r="K37" s="14" t="s">
        <v>238</v>
      </c>
      <c r="L37" s="15">
        <f t="shared" si="9"/>
        <v>3.4552845528455271E-2</v>
      </c>
      <c r="N37" s="18"/>
      <c r="O37" s="18"/>
    </row>
    <row r="38" spans="1:15" s="1" customFormat="1" ht="27" x14ac:dyDescent="0.3">
      <c r="A38" s="11" t="s">
        <v>46</v>
      </c>
      <c r="B38" s="11" t="s">
        <v>46</v>
      </c>
      <c r="C38" s="12" t="s">
        <v>352</v>
      </c>
      <c r="D38" s="35" t="s">
        <v>45</v>
      </c>
      <c r="E38" s="13">
        <v>5.18</v>
      </c>
      <c r="F38" s="13">
        <v>5.18</v>
      </c>
      <c r="G38" s="36">
        <f t="shared" si="5"/>
        <v>5.91</v>
      </c>
      <c r="H38" s="36">
        <f t="shared" si="6"/>
        <v>5.7</v>
      </c>
      <c r="I38" s="36">
        <f t="shared" si="7"/>
        <v>6.17</v>
      </c>
      <c r="J38" s="36">
        <f t="shared" si="8"/>
        <v>5.96</v>
      </c>
      <c r="K38" s="14" t="s">
        <v>239</v>
      </c>
      <c r="L38" s="15">
        <f t="shared" si="9"/>
        <v>3.5532994923857864E-2</v>
      </c>
      <c r="N38" s="18"/>
      <c r="O38" s="18"/>
    </row>
    <row r="39" spans="1:15" s="1" customFormat="1" x14ac:dyDescent="0.3">
      <c r="A39" s="11" t="s">
        <v>47</v>
      </c>
      <c r="B39" s="11" t="s">
        <v>47</v>
      </c>
      <c r="C39" s="16" t="s">
        <v>353</v>
      </c>
      <c r="D39" s="37" t="s">
        <v>45</v>
      </c>
      <c r="E39" s="19">
        <v>5.25</v>
      </c>
      <c r="F39" s="19">
        <v>5</v>
      </c>
      <c r="G39" s="38">
        <f t="shared" si="5"/>
        <v>5.99</v>
      </c>
      <c r="H39" s="38">
        <f t="shared" si="6"/>
        <v>5.5</v>
      </c>
      <c r="I39" s="38">
        <f t="shared" si="7"/>
        <v>6.26</v>
      </c>
      <c r="J39" s="38">
        <f t="shared" si="8"/>
        <v>5.75</v>
      </c>
      <c r="K39" s="17" t="s">
        <v>240</v>
      </c>
      <c r="L39" s="6">
        <f t="shared" si="9"/>
        <v>8.1803005008347279E-2</v>
      </c>
      <c r="N39" s="18"/>
      <c r="O39" s="18"/>
    </row>
    <row r="40" spans="1:15" s="1" customFormat="1" x14ac:dyDescent="0.3">
      <c r="A40" s="11" t="s">
        <v>48</v>
      </c>
      <c r="B40" s="11" t="s">
        <v>48</v>
      </c>
      <c r="C40" s="16" t="s">
        <v>354</v>
      </c>
      <c r="D40" s="37" t="s">
        <v>45</v>
      </c>
      <c r="E40" s="19">
        <v>5.25</v>
      </c>
      <c r="F40" s="19">
        <v>5</v>
      </c>
      <c r="G40" s="38">
        <f t="shared" si="5"/>
        <v>5.99</v>
      </c>
      <c r="H40" s="38">
        <f t="shared" si="6"/>
        <v>5.5</v>
      </c>
      <c r="I40" s="38">
        <f t="shared" si="7"/>
        <v>6.26</v>
      </c>
      <c r="J40" s="38">
        <f t="shared" si="8"/>
        <v>5.75</v>
      </c>
      <c r="K40" s="17" t="s">
        <v>240</v>
      </c>
      <c r="L40" s="6">
        <f t="shared" si="9"/>
        <v>8.1803005008347279E-2</v>
      </c>
      <c r="N40" s="18"/>
      <c r="O40" s="18"/>
    </row>
    <row r="41" spans="1:15" s="1" customFormat="1" x14ac:dyDescent="0.3">
      <c r="A41" s="11" t="s">
        <v>49</v>
      </c>
      <c r="B41" s="11" t="s">
        <v>49</v>
      </c>
      <c r="C41" s="16" t="s">
        <v>355</v>
      </c>
      <c r="D41" s="37" t="s">
        <v>45</v>
      </c>
      <c r="E41" s="19">
        <v>5.25</v>
      </c>
      <c r="F41" s="19">
        <v>5</v>
      </c>
      <c r="G41" s="38">
        <f t="shared" si="5"/>
        <v>5.99</v>
      </c>
      <c r="H41" s="38">
        <f t="shared" si="6"/>
        <v>5.5</v>
      </c>
      <c r="I41" s="38">
        <f t="shared" si="7"/>
        <v>6.26</v>
      </c>
      <c r="J41" s="38">
        <f t="shared" si="8"/>
        <v>5.75</v>
      </c>
      <c r="K41" s="17" t="s">
        <v>240</v>
      </c>
      <c r="L41" s="6">
        <f t="shared" si="9"/>
        <v>8.1803005008347279E-2</v>
      </c>
      <c r="N41" s="18"/>
      <c r="O41" s="18"/>
    </row>
    <row r="42" spans="1:15" s="1" customFormat="1" x14ac:dyDescent="0.3">
      <c r="A42" s="11" t="s">
        <v>50</v>
      </c>
      <c r="B42" s="11" t="s">
        <v>50</v>
      </c>
      <c r="C42" s="16" t="s">
        <v>356</v>
      </c>
      <c r="D42" s="37" t="s">
        <v>45</v>
      </c>
      <c r="E42" s="19">
        <v>5.25</v>
      </c>
      <c r="F42" s="19">
        <v>5</v>
      </c>
      <c r="G42" s="38">
        <f t="shared" si="5"/>
        <v>5.99</v>
      </c>
      <c r="H42" s="38">
        <f t="shared" si="6"/>
        <v>5.5</v>
      </c>
      <c r="I42" s="38">
        <f t="shared" si="7"/>
        <v>6.26</v>
      </c>
      <c r="J42" s="38">
        <f t="shared" si="8"/>
        <v>5.75</v>
      </c>
      <c r="K42" s="17" t="s">
        <v>240</v>
      </c>
      <c r="L42" s="6">
        <f t="shared" si="9"/>
        <v>8.1803005008347279E-2</v>
      </c>
      <c r="N42" s="18"/>
      <c r="O42" s="18"/>
    </row>
    <row r="43" spans="1:15" s="1" customFormat="1" x14ac:dyDescent="0.3">
      <c r="A43" s="11" t="s">
        <v>51</v>
      </c>
      <c r="B43" s="11" t="s">
        <v>51</v>
      </c>
      <c r="C43" s="16" t="s">
        <v>357</v>
      </c>
      <c r="D43" s="37" t="s">
        <v>24</v>
      </c>
      <c r="E43" s="19">
        <v>89.25</v>
      </c>
      <c r="F43" s="19">
        <v>85</v>
      </c>
      <c r="G43" s="38">
        <f t="shared" si="5"/>
        <v>101.69000000000001</v>
      </c>
      <c r="H43" s="38">
        <f t="shared" si="6"/>
        <v>93.5</v>
      </c>
      <c r="I43" s="38">
        <f t="shared" si="7"/>
        <v>106.31</v>
      </c>
      <c r="J43" s="38">
        <f t="shared" si="8"/>
        <v>97.75</v>
      </c>
      <c r="K43" s="17" t="s">
        <v>240</v>
      </c>
      <c r="L43" s="6">
        <f t="shared" si="9"/>
        <v>8.0538892713147917E-2</v>
      </c>
      <c r="N43" s="18"/>
      <c r="O43" s="18"/>
    </row>
    <row r="44" spans="1:15" s="1" customFormat="1" x14ac:dyDescent="0.3">
      <c r="A44" s="11" t="s">
        <v>52</v>
      </c>
      <c r="B44" s="11" t="s">
        <v>52</v>
      </c>
      <c r="C44" s="16" t="s">
        <v>358</v>
      </c>
      <c r="D44" s="37" t="s">
        <v>24</v>
      </c>
      <c r="E44" s="19">
        <v>70</v>
      </c>
      <c r="F44" s="19">
        <v>70</v>
      </c>
      <c r="G44" s="38">
        <f t="shared" si="5"/>
        <v>79.75</v>
      </c>
      <c r="H44" s="38">
        <f t="shared" si="6"/>
        <v>77</v>
      </c>
      <c r="I44" s="38">
        <f t="shared" si="7"/>
        <v>83.38000000000001</v>
      </c>
      <c r="J44" s="38">
        <f t="shared" si="8"/>
        <v>80.5</v>
      </c>
      <c r="K44" s="17" t="s">
        <v>241</v>
      </c>
      <c r="L44" s="6">
        <f t="shared" si="9"/>
        <v>3.4482758620689655E-2</v>
      </c>
      <c r="N44" s="18"/>
      <c r="O44" s="18"/>
    </row>
    <row r="45" spans="1:15" s="1" customFormat="1" x14ac:dyDescent="0.3">
      <c r="A45" s="11" t="s">
        <v>53</v>
      </c>
      <c r="B45" s="11" t="s">
        <v>53</v>
      </c>
      <c r="C45" s="16" t="s">
        <v>359</v>
      </c>
      <c r="D45" s="37" t="s">
        <v>24</v>
      </c>
      <c r="E45" s="19">
        <v>3</v>
      </c>
      <c r="F45" s="19">
        <v>3</v>
      </c>
      <c r="G45" s="38">
        <f t="shared" si="5"/>
        <v>3.42</v>
      </c>
      <c r="H45" s="38">
        <f t="shared" si="6"/>
        <v>3.3</v>
      </c>
      <c r="I45" s="38">
        <f t="shared" si="7"/>
        <v>3.5799999999999996</v>
      </c>
      <c r="J45" s="38">
        <f t="shared" si="8"/>
        <v>3.45</v>
      </c>
      <c r="K45" s="17" t="s">
        <v>233</v>
      </c>
      <c r="L45" s="6">
        <f t="shared" si="9"/>
        <v>3.5087719298245647E-2</v>
      </c>
      <c r="N45" s="18"/>
      <c r="O45" s="18"/>
    </row>
    <row r="46" spans="1:15" s="1" customFormat="1" x14ac:dyDescent="0.3">
      <c r="A46" s="11" t="s">
        <v>54</v>
      </c>
      <c r="B46" s="11" t="s">
        <v>54</v>
      </c>
      <c r="C46" s="12" t="s">
        <v>360</v>
      </c>
      <c r="D46" s="35" t="s">
        <v>24</v>
      </c>
      <c r="E46" s="13">
        <v>2.5499999999999998</v>
      </c>
      <c r="F46" s="13">
        <v>2.5499999999999998</v>
      </c>
      <c r="G46" s="36">
        <f t="shared" si="5"/>
        <v>2.9099999999999997</v>
      </c>
      <c r="H46" s="36">
        <f t="shared" si="6"/>
        <v>2.8099999999999996</v>
      </c>
      <c r="I46" s="36">
        <f t="shared" si="7"/>
        <v>3.0399999999999996</v>
      </c>
      <c r="J46" s="36">
        <f t="shared" si="8"/>
        <v>2.94</v>
      </c>
      <c r="K46" s="14" t="s">
        <v>242</v>
      </c>
      <c r="L46" s="15">
        <f t="shared" si="9"/>
        <v>3.4364261168384917E-2</v>
      </c>
      <c r="N46" s="18"/>
      <c r="O46" s="18"/>
    </row>
    <row r="47" spans="1:15" s="1" customFormat="1" x14ac:dyDescent="0.3">
      <c r="A47" s="11" t="s">
        <v>55</v>
      </c>
      <c r="B47" s="11" t="s">
        <v>55</v>
      </c>
      <c r="C47" s="12" t="s">
        <v>361</v>
      </c>
      <c r="D47" s="35" t="s">
        <v>24</v>
      </c>
      <c r="E47" s="13">
        <v>3.15</v>
      </c>
      <c r="F47" s="13">
        <v>3.15</v>
      </c>
      <c r="G47" s="36">
        <f t="shared" si="5"/>
        <v>3.59</v>
      </c>
      <c r="H47" s="36">
        <f t="shared" si="6"/>
        <v>3.4699999999999998</v>
      </c>
      <c r="I47" s="36">
        <f t="shared" si="7"/>
        <v>3.76</v>
      </c>
      <c r="J47" s="36">
        <f t="shared" si="8"/>
        <v>3.63</v>
      </c>
      <c r="K47" s="14" t="s">
        <v>243</v>
      </c>
      <c r="L47" s="15">
        <f t="shared" si="9"/>
        <v>3.3426183844011172E-2</v>
      </c>
      <c r="N47" s="18"/>
      <c r="O47" s="18"/>
    </row>
    <row r="48" spans="1:15" s="1" customFormat="1" x14ac:dyDescent="0.3">
      <c r="A48" s="11" t="s">
        <v>56</v>
      </c>
      <c r="B48" s="11" t="s">
        <v>56</v>
      </c>
      <c r="C48" s="12" t="s">
        <v>362</v>
      </c>
      <c r="D48" s="35" t="s">
        <v>24</v>
      </c>
      <c r="E48" s="13">
        <v>1.1499999999999999</v>
      </c>
      <c r="F48" s="13">
        <v>1.1499999999999999</v>
      </c>
      <c r="G48" s="36">
        <f t="shared" si="5"/>
        <v>1.32</v>
      </c>
      <c r="H48" s="36">
        <f t="shared" si="6"/>
        <v>1.27</v>
      </c>
      <c r="I48" s="36">
        <f t="shared" si="7"/>
        <v>1.37</v>
      </c>
      <c r="J48" s="36">
        <f t="shared" si="8"/>
        <v>1.33</v>
      </c>
      <c r="K48" s="14" t="s">
        <v>244</v>
      </c>
      <c r="L48" s="15">
        <f t="shared" si="9"/>
        <v>3.7878787878787908E-2</v>
      </c>
      <c r="N48" s="18"/>
      <c r="O48" s="18"/>
    </row>
    <row r="49" spans="1:15" s="1" customFormat="1" x14ac:dyDescent="0.3">
      <c r="A49" s="11" t="s">
        <v>57</v>
      </c>
      <c r="B49" s="11" t="s">
        <v>57</v>
      </c>
      <c r="C49" s="12" t="s">
        <v>363</v>
      </c>
      <c r="D49" s="35" t="s">
        <v>24</v>
      </c>
      <c r="E49" s="13">
        <v>1.1499999999999999</v>
      </c>
      <c r="F49" s="13">
        <v>1.1499999999999999</v>
      </c>
      <c r="G49" s="36">
        <f t="shared" si="5"/>
        <v>1.32</v>
      </c>
      <c r="H49" s="36">
        <f t="shared" si="6"/>
        <v>1.27</v>
      </c>
      <c r="I49" s="36">
        <f t="shared" si="7"/>
        <v>1.37</v>
      </c>
      <c r="J49" s="36">
        <f t="shared" si="8"/>
        <v>1.33</v>
      </c>
      <c r="K49" s="14" t="s">
        <v>244</v>
      </c>
      <c r="L49" s="15">
        <f t="shared" si="9"/>
        <v>3.7878787878787908E-2</v>
      </c>
      <c r="N49" s="18"/>
      <c r="O49" s="18"/>
    </row>
    <row r="50" spans="1:15" s="1" customFormat="1" x14ac:dyDescent="0.3">
      <c r="A50" s="11" t="s">
        <v>58</v>
      </c>
      <c r="B50" s="11" t="s">
        <v>58</v>
      </c>
      <c r="C50" s="12" t="s">
        <v>364</v>
      </c>
      <c r="D50" s="35" t="s">
        <v>24</v>
      </c>
      <c r="E50" s="13">
        <v>7.65</v>
      </c>
      <c r="F50" s="13">
        <v>7.65</v>
      </c>
      <c r="G50" s="36">
        <f t="shared" si="5"/>
        <v>8.7200000000000006</v>
      </c>
      <c r="H50" s="36">
        <f t="shared" si="6"/>
        <v>8.42</v>
      </c>
      <c r="I50" s="36">
        <f t="shared" si="7"/>
        <v>9.1199999999999992</v>
      </c>
      <c r="J50" s="36">
        <f t="shared" si="8"/>
        <v>8.7999999999999989</v>
      </c>
      <c r="K50" s="14" t="s">
        <v>245</v>
      </c>
      <c r="L50" s="15">
        <f t="shared" si="9"/>
        <v>3.440366972477072E-2</v>
      </c>
      <c r="N50" s="18"/>
      <c r="O50" s="18"/>
    </row>
    <row r="51" spans="1:15" s="1" customFormat="1" x14ac:dyDescent="0.3">
      <c r="A51" s="11" t="s">
        <v>59</v>
      </c>
      <c r="B51" s="11" t="s">
        <v>59</v>
      </c>
      <c r="C51" s="12" t="s">
        <v>365</v>
      </c>
      <c r="D51" s="35" t="s">
        <v>24</v>
      </c>
      <c r="E51" s="13">
        <v>8.65</v>
      </c>
      <c r="F51" s="13">
        <v>8.65</v>
      </c>
      <c r="G51" s="36">
        <f t="shared" si="5"/>
        <v>9.86</v>
      </c>
      <c r="H51" s="36">
        <f t="shared" si="6"/>
        <v>9.52</v>
      </c>
      <c r="I51" s="36">
        <f t="shared" si="7"/>
        <v>10.31</v>
      </c>
      <c r="J51" s="36">
        <f t="shared" si="8"/>
        <v>9.9499999999999993</v>
      </c>
      <c r="K51" s="14" t="s">
        <v>246</v>
      </c>
      <c r="L51" s="15">
        <f t="shared" si="9"/>
        <v>3.4482758620689641E-2</v>
      </c>
      <c r="N51" s="18"/>
      <c r="O51" s="18"/>
    </row>
    <row r="52" spans="1:15" s="1" customFormat="1" x14ac:dyDescent="0.3">
      <c r="A52" s="11" t="s">
        <v>60</v>
      </c>
      <c r="B52" s="11" t="s">
        <v>60</v>
      </c>
      <c r="C52" s="12" t="s">
        <v>366</v>
      </c>
      <c r="D52" s="35" t="s">
        <v>24</v>
      </c>
      <c r="E52" s="13">
        <v>6.95</v>
      </c>
      <c r="F52" s="13">
        <v>6.95</v>
      </c>
      <c r="G52" s="36">
        <f t="shared" si="5"/>
        <v>7.92</v>
      </c>
      <c r="H52" s="36">
        <f t="shared" si="6"/>
        <v>7.6499999999999995</v>
      </c>
      <c r="I52" s="36">
        <f t="shared" si="7"/>
        <v>8.2799999999999994</v>
      </c>
      <c r="J52" s="36">
        <f t="shared" si="8"/>
        <v>8</v>
      </c>
      <c r="K52" s="14" t="s">
        <v>247</v>
      </c>
      <c r="L52" s="15">
        <f t="shared" si="9"/>
        <v>3.4090909090909151E-2</v>
      </c>
      <c r="N52" s="18"/>
      <c r="O52" s="18"/>
    </row>
    <row r="53" spans="1:15" s="1" customFormat="1" x14ac:dyDescent="0.3">
      <c r="A53" s="11" t="s">
        <v>61</v>
      </c>
      <c r="B53" s="11" t="s">
        <v>61</v>
      </c>
      <c r="C53" s="12" t="s">
        <v>367</v>
      </c>
      <c r="D53" s="35" t="s">
        <v>24</v>
      </c>
      <c r="E53" s="13">
        <v>6.95</v>
      </c>
      <c r="F53" s="13">
        <v>6.95</v>
      </c>
      <c r="G53" s="36">
        <f t="shared" si="5"/>
        <v>7.92</v>
      </c>
      <c r="H53" s="36">
        <f t="shared" si="6"/>
        <v>7.6499999999999995</v>
      </c>
      <c r="I53" s="36">
        <f t="shared" si="7"/>
        <v>8.2799999999999994</v>
      </c>
      <c r="J53" s="36">
        <f t="shared" si="8"/>
        <v>8</v>
      </c>
      <c r="K53" s="14" t="s">
        <v>247</v>
      </c>
      <c r="L53" s="15">
        <f t="shared" si="9"/>
        <v>3.4090909090909151E-2</v>
      </c>
      <c r="N53" s="18"/>
      <c r="O53" s="18"/>
    </row>
    <row r="54" spans="1:15" s="1" customFormat="1" x14ac:dyDescent="0.3">
      <c r="A54" s="11" t="s">
        <v>62</v>
      </c>
      <c r="B54" s="11" t="s">
        <v>62</v>
      </c>
      <c r="C54" s="12" t="s">
        <v>368</v>
      </c>
      <c r="D54" s="35" t="s">
        <v>24</v>
      </c>
      <c r="E54" s="13">
        <v>21.15</v>
      </c>
      <c r="F54" s="13">
        <v>21.15</v>
      </c>
      <c r="G54" s="36">
        <f t="shared" si="5"/>
        <v>24.1</v>
      </c>
      <c r="H54" s="36">
        <f t="shared" si="6"/>
        <v>23.270000000000003</v>
      </c>
      <c r="I54" s="36">
        <f t="shared" si="7"/>
        <v>25.200000000000003</v>
      </c>
      <c r="J54" s="36">
        <f t="shared" si="8"/>
        <v>24.330000000000002</v>
      </c>
      <c r="K54" s="14" t="s">
        <v>248</v>
      </c>
      <c r="L54" s="15">
        <f t="shared" si="9"/>
        <v>3.4439834024896192E-2</v>
      </c>
      <c r="N54" s="18"/>
      <c r="O54" s="18"/>
    </row>
    <row r="55" spans="1:15" s="1" customFormat="1" x14ac:dyDescent="0.3">
      <c r="A55" s="11" t="s">
        <v>63</v>
      </c>
      <c r="B55" s="11" t="s">
        <v>63</v>
      </c>
      <c r="C55" s="12" t="s">
        <v>369</v>
      </c>
      <c r="D55" s="35" t="s">
        <v>24</v>
      </c>
      <c r="E55" s="13">
        <v>3.65</v>
      </c>
      <c r="F55" s="13">
        <v>3.65</v>
      </c>
      <c r="G55" s="36">
        <f t="shared" si="5"/>
        <v>4.16</v>
      </c>
      <c r="H55" s="36">
        <f t="shared" si="6"/>
        <v>4.0199999999999996</v>
      </c>
      <c r="I55" s="36">
        <f t="shared" si="7"/>
        <v>4.3499999999999996</v>
      </c>
      <c r="J55" s="36">
        <f t="shared" si="8"/>
        <v>4.2</v>
      </c>
      <c r="K55" s="14" t="s">
        <v>249</v>
      </c>
      <c r="L55" s="15">
        <f t="shared" si="9"/>
        <v>3.3653846153846291E-2</v>
      </c>
      <c r="N55" s="18"/>
      <c r="O55" s="18"/>
    </row>
    <row r="56" spans="1:15" s="1" customFormat="1" x14ac:dyDescent="0.3">
      <c r="A56" s="11" t="s">
        <v>64</v>
      </c>
      <c r="B56" s="11" t="s">
        <v>64</v>
      </c>
      <c r="C56" s="12" t="s">
        <v>370</v>
      </c>
      <c r="D56" s="35" t="s">
        <v>24</v>
      </c>
      <c r="E56" s="13">
        <v>0.7</v>
      </c>
      <c r="F56" s="13">
        <v>0.7</v>
      </c>
      <c r="G56" s="36">
        <f t="shared" si="5"/>
        <v>0.8</v>
      </c>
      <c r="H56" s="36">
        <f t="shared" si="6"/>
        <v>0.77</v>
      </c>
      <c r="I56" s="36">
        <f t="shared" si="7"/>
        <v>0.84</v>
      </c>
      <c r="J56" s="36">
        <f t="shared" si="8"/>
        <v>0.81</v>
      </c>
      <c r="K56" s="14" t="s">
        <v>250</v>
      </c>
      <c r="L56" s="15">
        <f t="shared" ref="L56:L84" si="10">(-H56+G56)/G56</f>
        <v>3.7500000000000033E-2</v>
      </c>
      <c r="N56" s="18"/>
      <c r="O56" s="18"/>
    </row>
    <row r="57" spans="1:15" s="1" customFormat="1" x14ac:dyDescent="0.3">
      <c r="A57" s="11" t="s">
        <v>65</v>
      </c>
      <c r="B57" s="11" t="s">
        <v>65</v>
      </c>
      <c r="C57" s="12" t="s">
        <v>371</v>
      </c>
      <c r="D57" s="35" t="s">
        <v>24</v>
      </c>
      <c r="E57" s="13">
        <v>2.35</v>
      </c>
      <c r="F57" s="13">
        <v>2.35</v>
      </c>
      <c r="G57" s="36">
        <f t="shared" si="5"/>
        <v>2.6799999999999997</v>
      </c>
      <c r="H57" s="36">
        <f t="shared" si="6"/>
        <v>2.59</v>
      </c>
      <c r="I57" s="36">
        <f t="shared" si="7"/>
        <v>2.8</v>
      </c>
      <c r="J57" s="36">
        <f t="shared" si="8"/>
        <v>2.71</v>
      </c>
      <c r="K57" s="14" t="s">
        <v>251</v>
      </c>
      <c r="L57" s="15">
        <f t="shared" si="10"/>
        <v>3.3582089552238757E-2</v>
      </c>
      <c r="N57" s="18"/>
      <c r="O57" s="18"/>
    </row>
    <row r="58" spans="1:15" s="1" customFormat="1" x14ac:dyDescent="0.3">
      <c r="A58" s="11" t="s">
        <v>66</v>
      </c>
      <c r="B58" s="11" t="s">
        <v>66</v>
      </c>
      <c r="C58" s="12" t="s">
        <v>372</v>
      </c>
      <c r="D58" s="35" t="s">
        <v>24</v>
      </c>
      <c r="E58" s="13">
        <v>1.55</v>
      </c>
      <c r="F58" s="13">
        <v>1.55</v>
      </c>
      <c r="G58" s="36">
        <f t="shared" si="5"/>
        <v>1.77</v>
      </c>
      <c r="H58" s="36">
        <f t="shared" si="6"/>
        <v>1.71</v>
      </c>
      <c r="I58" s="36">
        <f t="shared" si="7"/>
        <v>1.85</v>
      </c>
      <c r="J58" s="36">
        <f t="shared" si="8"/>
        <v>1.79</v>
      </c>
      <c r="K58" s="14" t="s">
        <v>252</v>
      </c>
      <c r="L58" s="15">
        <f t="shared" si="10"/>
        <v>3.389830508474579E-2</v>
      </c>
      <c r="N58" s="18"/>
      <c r="O58" s="18"/>
    </row>
    <row r="59" spans="1:15" s="1" customFormat="1" x14ac:dyDescent="0.3">
      <c r="A59" s="11" t="s">
        <v>67</v>
      </c>
      <c r="B59" s="11" t="s">
        <v>67</v>
      </c>
      <c r="C59" s="12" t="s">
        <v>373</v>
      </c>
      <c r="D59" s="35" t="s">
        <v>24</v>
      </c>
      <c r="E59" s="13">
        <v>9.15</v>
      </c>
      <c r="F59" s="13">
        <v>9.15</v>
      </c>
      <c r="G59" s="36">
        <f t="shared" si="5"/>
        <v>10.43</v>
      </c>
      <c r="H59" s="36">
        <f t="shared" si="6"/>
        <v>10.07</v>
      </c>
      <c r="I59" s="36">
        <f t="shared" si="7"/>
        <v>10.9</v>
      </c>
      <c r="J59" s="36">
        <f t="shared" si="8"/>
        <v>10.53</v>
      </c>
      <c r="K59" s="14" t="s">
        <v>253</v>
      </c>
      <c r="L59" s="15">
        <f t="shared" si="10"/>
        <v>3.4515819750719025E-2</v>
      </c>
      <c r="N59" s="18"/>
      <c r="O59" s="18"/>
    </row>
    <row r="60" spans="1:15" s="1" customFormat="1" x14ac:dyDescent="0.3">
      <c r="A60" s="11" t="s">
        <v>68</v>
      </c>
      <c r="B60" s="11" t="s">
        <v>68</v>
      </c>
      <c r="C60" s="12" t="s">
        <v>374</v>
      </c>
      <c r="D60" s="35" t="s">
        <v>24</v>
      </c>
      <c r="E60" s="13">
        <v>11.15</v>
      </c>
      <c r="F60" s="13">
        <v>11.15</v>
      </c>
      <c r="G60" s="36">
        <f t="shared" si="5"/>
        <v>12.709999999999999</v>
      </c>
      <c r="H60" s="36">
        <f t="shared" si="6"/>
        <v>12.27</v>
      </c>
      <c r="I60" s="36">
        <f t="shared" si="7"/>
        <v>13.29</v>
      </c>
      <c r="J60" s="36">
        <f t="shared" si="8"/>
        <v>12.83</v>
      </c>
      <c r="K60" s="14" t="s">
        <v>254</v>
      </c>
      <c r="L60" s="15">
        <f t="shared" si="10"/>
        <v>3.4618410700235996E-2</v>
      </c>
      <c r="N60" s="18"/>
      <c r="O60" s="18"/>
    </row>
    <row r="61" spans="1:15" s="1" customFormat="1" x14ac:dyDescent="0.3">
      <c r="A61" s="11" t="s">
        <v>69</v>
      </c>
      <c r="B61" s="11" t="s">
        <v>69</v>
      </c>
      <c r="C61" s="12" t="s">
        <v>375</v>
      </c>
      <c r="D61" s="35" t="s">
        <v>24</v>
      </c>
      <c r="E61" s="13">
        <v>2.95</v>
      </c>
      <c r="F61" s="13">
        <v>2.95</v>
      </c>
      <c r="G61" s="36">
        <f t="shared" si="5"/>
        <v>3.3699999999999997</v>
      </c>
      <c r="H61" s="36">
        <f t="shared" si="6"/>
        <v>3.25</v>
      </c>
      <c r="I61" s="36">
        <f t="shared" si="7"/>
        <v>3.5199999999999996</v>
      </c>
      <c r="J61" s="36">
        <f t="shared" si="8"/>
        <v>3.4</v>
      </c>
      <c r="K61" s="14" t="s">
        <v>255</v>
      </c>
      <c r="L61" s="15">
        <f t="shared" si="10"/>
        <v>3.560830860534115E-2</v>
      </c>
      <c r="N61" s="18"/>
      <c r="O61" s="18"/>
    </row>
    <row r="62" spans="1:15" s="1" customFormat="1" x14ac:dyDescent="0.3">
      <c r="A62" s="11" t="s">
        <v>70</v>
      </c>
      <c r="B62" s="11" t="s">
        <v>70</v>
      </c>
      <c r="C62" s="12" t="s">
        <v>376</v>
      </c>
      <c r="D62" s="35" t="s">
        <v>24</v>
      </c>
      <c r="E62" s="13">
        <v>3.65</v>
      </c>
      <c r="F62" s="13">
        <v>3.65</v>
      </c>
      <c r="G62" s="36">
        <f t="shared" si="5"/>
        <v>4.16</v>
      </c>
      <c r="H62" s="36">
        <f t="shared" si="6"/>
        <v>4.0199999999999996</v>
      </c>
      <c r="I62" s="36">
        <f t="shared" si="7"/>
        <v>4.3499999999999996</v>
      </c>
      <c r="J62" s="36">
        <f t="shared" si="8"/>
        <v>4.2</v>
      </c>
      <c r="K62" s="14" t="s">
        <v>249</v>
      </c>
      <c r="L62" s="15">
        <f t="shared" si="10"/>
        <v>3.3653846153846291E-2</v>
      </c>
      <c r="N62" s="18"/>
      <c r="O62" s="18"/>
    </row>
    <row r="63" spans="1:15" s="1" customFormat="1" x14ac:dyDescent="0.3">
      <c r="A63" s="11" t="s">
        <v>71</v>
      </c>
      <c r="B63" s="11" t="s">
        <v>71</v>
      </c>
      <c r="C63" s="12" t="s">
        <v>377</v>
      </c>
      <c r="D63" s="35" t="s">
        <v>24</v>
      </c>
      <c r="E63" s="13">
        <v>5.65</v>
      </c>
      <c r="F63" s="13">
        <v>5.65</v>
      </c>
      <c r="G63" s="36">
        <f t="shared" si="5"/>
        <v>6.4399999999999995</v>
      </c>
      <c r="H63" s="36">
        <f t="shared" si="6"/>
        <v>6.22</v>
      </c>
      <c r="I63" s="36">
        <f t="shared" si="7"/>
        <v>6.7299999999999995</v>
      </c>
      <c r="J63" s="36">
        <f t="shared" si="8"/>
        <v>6.5</v>
      </c>
      <c r="K63" s="14" t="s">
        <v>256</v>
      </c>
      <c r="L63" s="15">
        <f t="shared" si="10"/>
        <v>3.4161490683229781E-2</v>
      </c>
      <c r="N63" s="18"/>
      <c r="O63" s="18"/>
    </row>
    <row r="64" spans="1:15" s="1" customFormat="1" x14ac:dyDescent="0.3">
      <c r="A64" s="11" t="s">
        <v>72</v>
      </c>
      <c r="B64" s="11" t="s">
        <v>72</v>
      </c>
      <c r="C64" s="12" t="s">
        <v>378</v>
      </c>
      <c r="D64" s="35" t="s">
        <v>24</v>
      </c>
      <c r="E64" s="13">
        <v>7.15</v>
      </c>
      <c r="F64" s="13">
        <v>7.15</v>
      </c>
      <c r="G64" s="36">
        <f t="shared" si="5"/>
        <v>8.15</v>
      </c>
      <c r="H64" s="36">
        <f t="shared" si="6"/>
        <v>7.87</v>
      </c>
      <c r="I64" s="36">
        <f t="shared" si="7"/>
        <v>8.52</v>
      </c>
      <c r="J64" s="36">
        <f t="shared" si="8"/>
        <v>8.23</v>
      </c>
      <c r="K64" s="14" t="s">
        <v>257</v>
      </c>
      <c r="L64" s="15">
        <f t="shared" si="10"/>
        <v>3.4355828220858926E-2</v>
      </c>
      <c r="N64" s="18"/>
      <c r="O64" s="18"/>
    </row>
    <row r="65" spans="1:15" s="1" customFormat="1" x14ac:dyDescent="0.3">
      <c r="A65" s="11" t="s">
        <v>73</v>
      </c>
      <c r="B65" s="11" t="s">
        <v>73</v>
      </c>
      <c r="C65" s="12" t="s">
        <v>379</v>
      </c>
      <c r="D65" s="35" t="s">
        <v>24</v>
      </c>
      <c r="E65" s="13">
        <v>8.9499999999999993</v>
      </c>
      <c r="F65" s="13">
        <v>8.9499999999999993</v>
      </c>
      <c r="G65" s="36">
        <f t="shared" si="5"/>
        <v>10.199999999999999</v>
      </c>
      <c r="H65" s="36">
        <f t="shared" si="6"/>
        <v>9.85</v>
      </c>
      <c r="I65" s="36">
        <f t="shared" si="7"/>
        <v>10.67</v>
      </c>
      <c r="J65" s="36">
        <f t="shared" si="8"/>
        <v>10.299999999999999</v>
      </c>
      <c r="K65" s="14" t="s">
        <v>258</v>
      </c>
      <c r="L65" s="15">
        <f t="shared" si="10"/>
        <v>3.4313725490196047E-2</v>
      </c>
      <c r="N65" s="18"/>
      <c r="O65" s="18"/>
    </row>
    <row r="66" spans="1:15" s="1" customFormat="1" x14ac:dyDescent="0.3">
      <c r="A66" s="11" t="s">
        <v>74</v>
      </c>
      <c r="B66" s="11" t="s">
        <v>74</v>
      </c>
      <c r="C66" s="12" t="s">
        <v>380</v>
      </c>
      <c r="D66" s="35" t="s">
        <v>24</v>
      </c>
      <c r="E66" s="13">
        <v>20.149999999999999</v>
      </c>
      <c r="F66" s="13">
        <v>20.149999999999999</v>
      </c>
      <c r="G66" s="36">
        <f t="shared" si="5"/>
        <v>22.96</v>
      </c>
      <c r="H66" s="36">
        <f t="shared" si="6"/>
        <v>22.17</v>
      </c>
      <c r="I66" s="36">
        <f t="shared" si="7"/>
        <v>24.01</v>
      </c>
      <c r="J66" s="36">
        <f t="shared" si="8"/>
        <v>23.180000000000003</v>
      </c>
      <c r="K66" s="14" t="s">
        <v>259</v>
      </c>
      <c r="L66" s="15">
        <f t="shared" si="10"/>
        <v>3.4407665505226441E-2</v>
      </c>
      <c r="N66" s="18"/>
      <c r="O66" s="18"/>
    </row>
    <row r="67" spans="1:15" s="1" customFormat="1" x14ac:dyDescent="0.3">
      <c r="A67" s="11" t="s">
        <v>75</v>
      </c>
      <c r="B67" s="11" t="s">
        <v>75</v>
      </c>
      <c r="C67" s="12" t="s">
        <v>381</v>
      </c>
      <c r="D67" s="35" t="s">
        <v>24</v>
      </c>
      <c r="E67" s="13">
        <v>3.65</v>
      </c>
      <c r="F67" s="13">
        <v>3.65</v>
      </c>
      <c r="G67" s="36">
        <f t="shared" si="5"/>
        <v>4.16</v>
      </c>
      <c r="H67" s="36">
        <f t="shared" si="6"/>
        <v>4.0199999999999996</v>
      </c>
      <c r="I67" s="36">
        <f t="shared" si="7"/>
        <v>4.3499999999999996</v>
      </c>
      <c r="J67" s="36">
        <f t="shared" si="8"/>
        <v>4.2</v>
      </c>
      <c r="K67" s="14" t="s">
        <v>249</v>
      </c>
      <c r="L67" s="15">
        <f t="shared" si="10"/>
        <v>3.3653846153846291E-2</v>
      </c>
      <c r="N67" s="18"/>
      <c r="O67" s="18"/>
    </row>
    <row r="68" spans="1:15" s="1" customFormat="1" x14ac:dyDescent="0.3">
      <c r="A68" s="11" t="s">
        <v>76</v>
      </c>
      <c r="B68" s="11" t="s">
        <v>76</v>
      </c>
      <c r="C68" s="12" t="s">
        <v>382</v>
      </c>
      <c r="D68" s="35" t="s">
        <v>24</v>
      </c>
      <c r="E68" s="13">
        <v>5.15</v>
      </c>
      <c r="F68" s="13">
        <v>5.15</v>
      </c>
      <c r="G68" s="36">
        <f t="shared" si="5"/>
        <v>5.87</v>
      </c>
      <c r="H68" s="36">
        <f t="shared" si="6"/>
        <v>5.67</v>
      </c>
      <c r="I68" s="36">
        <f t="shared" si="7"/>
        <v>6.14</v>
      </c>
      <c r="J68" s="36">
        <f t="shared" si="8"/>
        <v>5.93</v>
      </c>
      <c r="K68" s="14" t="s">
        <v>260</v>
      </c>
      <c r="L68" s="15">
        <f t="shared" si="10"/>
        <v>3.4071550255536653E-2</v>
      </c>
      <c r="N68" s="18"/>
      <c r="O68" s="18"/>
    </row>
    <row r="69" spans="1:15" s="1" customFormat="1" x14ac:dyDescent="0.3">
      <c r="A69" s="11" t="s">
        <v>77</v>
      </c>
      <c r="B69" s="11" t="s">
        <v>77</v>
      </c>
      <c r="C69" s="12" t="s">
        <v>383</v>
      </c>
      <c r="D69" s="35" t="s">
        <v>24</v>
      </c>
      <c r="E69" s="13">
        <v>4.6500000000000004</v>
      </c>
      <c r="F69" s="13">
        <v>4.6500000000000004</v>
      </c>
      <c r="G69" s="36">
        <f t="shared" si="5"/>
        <v>5.3</v>
      </c>
      <c r="H69" s="36">
        <f t="shared" si="6"/>
        <v>5.12</v>
      </c>
      <c r="I69" s="36">
        <f t="shared" si="7"/>
        <v>5.54</v>
      </c>
      <c r="J69" s="36">
        <f t="shared" si="8"/>
        <v>5.35</v>
      </c>
      <c r="K69" s="14" t="s">
        <v>261</v>
      </c>
      <c r="L69" s="15">
        <f t="shared" si="10"/>
        <v>3.3962264150943347E-2</v>
      </c>
      <c r="N69" s="18"/>
      <c r="O69" s="18"/>
    </row>
    <row r="70" spans="1:15" s="1" customFormat="1" x14ac:dyDescent="0.3">
      <c r="A70" s="11" t="s">
        <v>78</v>
      </c>
      <c r="B70" s="11" t="s">
        <v>78</v>
      </c>
      <c r="C70" s="12" t="s">
        <v>384</v>
      </c>
      <c r="D70" s="35" t="s">
        <v>24</v>
      </c>
      <c r="E70" s="13">
        <v>1.95</v>
      </c>
      <c r="F70" s="13">
        <v>1.95</v>
      </c>
      <c r="G70" s="36">
        <f t="shared" si="5"/>
        <v>2.23</v>
      </c>
      <c r="H70" s="36">
        <f t="shared" si="6"/>
        <v>2.15</v>
      </c>
      <c r="I70" s="36">
        <f t="shared" si="7"/>
        <v>2.3299999999999996</v>
      </c>
      <c r="J70" s="36">
        <f t="shared" si="8"/>
        <v>2.25</v>
      </c>
      <c r="K70" s="14" t="s">
        <v>262</v>
      </c>
      <c r="L70" s="15">
        <f t="shared" si="10"/>
        <v>3.5874439461883442E-2</v>
      </c>
      <c r="N70" s="18"/>
      <c r="O70" s="18"/>
    </row>
    <row r="71" spans="1:15" s="1" customFormat="1" x14ac:dyDescent="0.3">
      <c r="A71" s="11" t="s">
        <v>79</v>
      </c>
      <c r="B71" s="11" t="s">
        <v>79</v>
      </c>
      <c r="C71" s="12" t="s">
        <v>385</v>
      </c>
      <c r="D71" s="35" t="s">
        <v>24</v>
      </c>
      <c r="E71" s="13">
        <v>18.149999999999999</v>
      </c>
      <c r="F71" s="13">
        <v>18.149999999999999</v>
      </c>
      <c r="G71" s="36">
        <f t="shared" si="5"/>
        <v>20.680000000000003</v>
      </c>
      <c r="H71" s="36">
        <f t="shared" si="6"/>
        <v>19.970000000000002</v>
      </c>
      <c r="I71" s="36">
        <f t="shared" si="7"/>
        <v>21.62</v>
      </c>
      <c r="J71" s="36">
        <f t="shared" si="8"/>
        <v>20.880000000000003</v>
      </c>
      <c r="K71" s="14" t="s">
        <v>263</v>
      </c>
      <c r="L71" s="15">
        <f t="shared" si="10"/>
        <v>3.4332688588007775E-2</v>
      </c>
      <c r="N71" s="18"/>
      <c r="O71" s="18"/>
    </row>
    <row r="72" spans="1:15" s="1" customFormat="1" x14ac:dyDescent="0.3">
      <c r="A72" s="11" t="s">
        <v>80</v>
      </c>
      <c r="B72" s="11" t="s">
        <v>80</v>
      </c>
      <c r="C72" s="12" t="s">
        <v>386</v>
      </c>
      <c r="D72" s="35" t="s">
        <v>24</v>
      </c>
      <c r="E72" s="13">
        <v>9.65</v>
      </c>
      <c r="F72" s="13">
        <v>9.65</v>
      </c>
      <c r="G72" s="36">
        <f t="shared" si="5"/>
        <v>11</v>
      </c>
      <c r="H72" s="36">
        <f t="shared" si="6"/>
        <v>10.62</v>
      </c>
      <c r="I72" s="36">
        <f t="shared" si="7"/>
        <v>11.5</v>
      </c>
      <c r="J72" s="36">
        <f t="shared" si="8"/>
        <v>11.1</v>
      </c>
      <c r="K72" s="14" t="s">
        <v>264</v>
      </c>
      <c r="L72" s="15">
        <f t="shared" si="10"/>
        <v>3.4545454545454615E-2</v>
      </c>
      <c r="N72" s="18"/>
      <c r="O72" s="18"/>
    </row>
    <row r="73" spans="1:15" s="1" customFormat="1" x14ac:dyDescent="0.3">
      <c r="A73" s="11" t="s">
        <v>81</v>
      </c>
      <c r="B73" s="11" t="s">
        <v>81</v>
      </c>
      <c r="C73" s="12" t="s">
        <v>387</v>
      </c>
      <c r="D73" s="35" t="s">
        <v>24</v>
      </c>
      <c r="E73" s="13">
        <v>2.15</v>
      </c>
      <c r="F73" s="13">
        <v>2.15</v>
      </c>
      <c r="G73" s="36">
        <f t="shared" si="5"/>
        <v>2.4499999999999997</v>
      </c>
      <c r="H73" s="36">
        <f t="shared" si="6"/>
        <v>2.3699999999999997</v>
      </c>
      <c r="I73" s="36">
        <f t="shared" si="7"/>
        <v>2.57</v>
      </c>
      <c r="J73" s="36">
        <f t="shared" si="8"/>
        <v>2.48</v>
      </c>
      <c r="K73" s="14" t="s">
        <v>265</v>
      </c>
      <c r="L73" s="15">
        <f t="shared" si="10"/>
        <v>3.2653061224489827E-2</v>
      </c>
      <c r="N73" s="18"/>
      <c r="O73" s="18"/>
    </row>
    <row r="74" spans="1:15" s="1" customFormat="1" x14ac:dyDescent="0.3">
      <c r="A74" s="11" t="s">
        <v>82</v>
      </c>
      <c r="B74" s="11" t="s">
        <v>82</v>
      </c>
      <c r="C74" s="12" t="s">
        <v>388</v>
      </c>
      <c r="D74" s="35" t="s">
        <v>24</v>
      </c>
      <c r="E74" s="13">
        <v>14.15</v>
      </c>
      <c r="F74" s="13">
        <v>14.15</v>
      </c>
      <c r="G74" s="36">
        <f t="shared" si="5"/>
        <v>16.130000000000003</v>
      </c>
      <c r="H74" s="36">
        <f t="shared" si="6"/>
        <v>15.57</v>
      </c>
      <c r="I74" s="36">
        <f t="shared" si="7"/>
        <v>16.860000000000003</v>
      </c>
      <c r="J74" s="36">
        <f t="shared" si="8"/>
        <v>16.28</v>
      </c>
      <c r="K74" s="14" t="s">
        <v>266</v>
      </c>
      <c r="L74" s="15">
        <f t="shared" si="10"/>
        <v>3.4717916924984639E-2</v>
      </c>
      <c r="N74" s="18"/>
      <c r="O74" s="18"/>
    </row>
    <row r="75" spans="1:15" s="1" customFormat="1" x14ac:dyDescent="0.3">
      <c r="A75" s="11" t="s">
        <v>83</v>
      </c>
      <c r="B75" s="11" t="s">
        <v>83</v>
      </c>
      <c r="C75" s="12" t="s">
        <v>389</v>
      </c>
      <c r="D75" s="35" t="s">
        <v>24</v>
      </c>
      <c r="E75" s="13">
        <v>6.15</v>
      </c>
      <c r="F75" s="13">
        <v>6.15</v>
      </c>
      <c r="G75" s="36">
        <f t="shared" si="5"/>
        <v>7.01</v>
      </c>
      <c r="H75" s="36">
        <f t="shared" si="6"/>
        <v>6.77</v>
      </c>
      <c r="I75" s="36">
        <f t="shared" si="7"/>
        <v>7.33</v>
      </c>
      <c r="J75" s="36">
        <f t="shared" si="8"/>
        <v>7.08</v>
      </c>
      <c r="K75" s="14" t="s">
        <v>267</v>
      </c>
      <c r="L75" s="15">
        <f t="shared" si="10"/>
        <v>3.4236804564907304E-2</v>
      </c>
      <c r="N75" s="18"/>
      <c r="O75" s="18"/>
    </row>
    <row r="76" spans="1:15" s="1" customFormat="1" x14ac:dyDescent="0.3">
      <c r="A76" s="11" t="s">
        <v>84</v>
      </c>
      <c r="B76" s="11" t="s">
        <v>84</v>
      </c>
      <c r="C76" s="12" t="s">
        <v>390</v>
      </c>
      <c r="D76" s="35" t="s">
        <v>24</v>
      </c>
      <c r="E76" s="13">
        <v>6.15</v>
      </c>
      <c r="F76" s="13">
        <v>6.15</v>
      </c>
      <c r="G76" s="36">
        <f t="shared" si="5"/>
        <v>7.01</v>
      </c>
      <c r="H76" s="36">
        <f t="shared" si="6"/>
        <v>6.77</v>
      </c>
      <c r="I76" s="36">
        <f t="shared" si="7"/>
        <v>7.33</v>
      </c>
      <c r="J76" s="36">
        <f t="shared" si="8"/>
        <v>7.08</v>
      </c>
      <c r="K76" s="14" t="s">
        <v>267</v>
      </c>
      <c r="L76" s="15">
        <f t="shared" si="10"/>
        <v>3.4236804564907304E-2</v>
      </c>
      <c r="N76" s="18"/>
      <c r="O76" s="18"/>
    </row>
    <row r="77" spans="1:15" s="1" customFormat="1" x14ac:dyDescent="0.3">
      <c r="A77" s="11" t="s">
        <v>85</v>
      </c>
      <c r="B77" s="11" t="s">
        <v>85</v>
      </c>
      <c r="C77" s="12" t="s">
        <v>391</v>
      </c>
      <c r="D77" s="35" t="s">
        <v>24</v>
      </c>
      <c r="E77" s="13">
        <v>2.15</v>
      </c>
      <c r="F77" s="13">
        <v>2.15</v>
      </c>
      <c r="G77" s="36">
        <f t="shared" si="5"/>
        <v>2.4499999999999997</v>
      </c>
      <c r="H77" s="36">
        <f t="shared" si="6"/>
        <v>2.3699999999999997</v>
      </c>
      <c r="I77" s="36">
        <f t="shared" si="7"/>
        <v>2.57</v>
      </c>
      <c r="J77" s="36">
        <f t="shared" si="8"/>
        <v>2.48</v>
      </c>
      <c r="K77" s="14" t="s">
        <v>265</v>
      </c>
      <c r="L77" s="15">
        <f t="shared" si="10"/>
        <v>3.2653061224489827E-2</v>
      </c>
      <c r="N77" s="18"/>
      <c r="O77" s="18"/>
    </row>
    <row r="78" spans="1:15" s="1" customFormat="1" x14ac:dyDescent="0.3">
      <c r="A78" s="11" t="s">
        <v>86</v>
      </c>
      <c r="B78" s="11" t="s">
        <v>86</v>
      </c>
      <c r="C78" s="12" t="s">
        <v>392</v>
      </c>
      <c r="D78" s="35" t="s">
        <v>24</v>
      </c>
      <c r="E78" s="13">
        <v>2.35</v>
      </c>
      <c r="F78" s="13">
        <v>2.35</v>
      </c>
      <c r="G78" s="36">
        <f t="shared" si="5"/>
        <v>2.6799999999999997</v>
      </c>
      <c r="H78" s="36">
        <f t="shared" si="6"/>
        <v>2.59</v>
      </c>
      <c r="I78" s="36">
        <f t="shared" si="7"/>
        <v>2.8</v>
      </c>
      <c r="J78" s="36">
        <f t="shared" si="8"/>
        <v>2.71</v>
      </c>
      <c r="K78" s="14" t="s">
        <v>251</v>
      </c>
      <c r="L78" s="15">
        <f t="shared" si="10"/>
        <v>3.3582089552238757E-2</v>
      </c>
      <c r="N78" s="18"/>
      <c r="O78" s="18"/>
    </row>
    <row r="79" spans="1:15" s="1" customFormat="1" x14ac:dyDescent="0.3">
      <c r="A79" s="11" t="s">
        <v>87</v>
      </c>
      <c r="B79" s="11" t="s">
        <v>87</v>
      </c>
      <c r="C79" s="12" t="s">
        <v>393</v>
      </c>
      <c r="D79" s="35" t="s">
        <v>24</v>
      </c>
      <c r="E79" s="13">
        <v>3.35</v>
      </c>
      <c r="F79" s="13">
        <v>3.35</v>
      </c>
      <c r="G79" s="36">
        <f t="shared" si="5"/>
        <v>3.82</v>
      </c>
      <c r="H79" s="36">
        <f t="shared" si="6"/>
        <v>3.69</v>
      </c>
      <c r="I79" s="36">
        <f t="shared" si="7"/>
        <v>4</v>
      </c>
      <c r="J79" s="36">
        <f t="shared" si="8"/>
        <v>3.86</v>
      </c>
      <c r="K79" s="14" t="s">
        <v>268</v>
      </c>
      <c r="L79" s="15">
        <f t="shared" si="10"/>
        <v>3.4031413612565418E-2</v>
      </c>
      <c r="N79" s="18"/>
      <c r="O79" s="18"/>
    </row>
    <row r="80" spans="1:15" s="1" customFormat="1" x14ac:dyDescent="0.3">
      <c r="A80" s="11" t="s">
        <v>88</v>
      </c>
      <c r="B80" s="11" t="s">
        <v>88</v>
      </c>
      <c r="C80" s="12" t="s">
        <v>394</v>
      </c>
      <c r="D80" s="35" t="s">
        <v>24</v>
      </c>
      <c r="E80" s="13">
        <v>6.35</v>
      </c>
      <c r="F80" s="13">
        <v>6.35</v>
      </c>
      <c r="G80" s="36">
        <f t="shared" si="5"/>
        <v>7.24</v>
      </c>
      <c r="H80" s="36">
        <f t="shared" si="6"/>
        <v>6.99</v>
      </c>
      <c r="I80" s="36">
        <f t="shared" si="7"/>
        <v>7.5699999999999994</v>
      </c>
      <c r="J80" s="36">
        <f t="shared" si="8"/>
        <v>7.31</v>
      </c>
      <c r="K80" s="14" t="s">
        <v>269</v>
      </c>
      <c r="L80" s="15">
        <f t="shared" si="10"/>
        <v>3.4530386740331494E-2</v>
      </c>
      <c r="N80" s="18"/>
      <c r="O80" s="18"/>
    </row>
    <row r="81" spans="1:15" s="1" customFormat="1" x14ac:dyDescent="0.3">
      <c r="A81" s="11" t="s">
        <v>89</v>
      </c>
      <c r="B81" s="11" t="s">
        <v>89</v>
      </c>
      <c r="C81" s="12" t="s">
        <v>395</v>
      </c>
      <c r="D81" s="35" t="s">
        <v>24</v>
      </c>
      <c r="E81" s="13">
        <v>7.15</v>
      </c>
      <c r="F81" s="13">
        <v>7.15</v>
      </c>
      <c r="G81" s="36">
        <f t="shared" si="5"/>
        <v>8.15</v>
      </c>
      <c r="H81" s="36">
        <f t="shared" si="6"/>
        <v>7.87</v>
      </c>
      <c r="I81" s="36">
        <f t="shared" si="7"/>
        <v>8.52</v>
      </c>
      <c r="J81" s="36">
        <f t="shared" si="8"/>
        <v>8.23</v>
      </c>
      <c r="K81" s="14" t="s">
        <v>257</v>
      </c>
      <c r="L81" s="15">
        <f t="shared" si="10"/>
        <v>3.4355828220858926E-2</v>
      </c>
      <c r="N81" s="18"/>
      <c r="O81" s="18"/>
    </row>
    <row r="82" spans="1:15" s="1" customFormat="1" x14ac:dyDescent="0.3">
      <c r="A82" s="11" t="s">
        <v>90</v>
      </c>
      <c r="B82" s="11" t="s">
        <v>90</v>
      </c>
      <c r="C82" s="12" t="s">
        <v>396</v>
      </c>
      <c r="D82" s="35" t="s">
        <v>31</v>
      </c>
      <c r="E82" s="13">
        <v>10</v>
      </c>
      <c r="F82" s="13">
        <v>10</v>
      </c>
      <c r="G82" s="36">
        <f t="shared" si="5"/>
        <v>11.4</v>
      </c>
      <c r="H82" s="36">
        <f t="shared" si="6"/>
        <v>11</v>
      </c>
      <c r="I82" s="36">
        <f t="shared" si="7"/>
        <v>11.92</v>
      </c>
      <c r="J82" s="36">
        <f t="shared" si="8"/>
        <v>11.5</v>
      </c>
      <c r="K82" s="14" t="s">
        <v>270</v>
      </c>
      <c r="L82" s="15">
        <f t="shared" si="10"/>
        <v>3.5087719298245647E-2</v>
      </c>
      <c r="N82" s="18"/>
      <c r="O82" s="18"/>
    </row>
    <row r="83" spans="1:15" s="1" customFormat="1" x14ac:dyDescent="0.3">
      <c r="A83" s="11" t="s">
        <v>91</v>
      </c>
      <c r="B83" s="11" t="s">
        <v>91</v>
      </c>
      <c r="C83" s="16" t="s">
        <v>397</v>
      </c>
      <c r="D83" s="37" t="s">
        <v>24</v>
      </c>
      <c r="E83" s="19">
        <v>60</v>
      </c>
      <c r="F83" s="19">
        <v>60</v>
      </c>
      <c r="G83" s="38">
        <f t="shared" si="5"/>
        <v>68.36</v>
      </c>
      <c r="H83" s="38">
        <f t="shared" si="6"/>
        <v>66</v>
      </c>
      <c r="I83" s="38">
        <f t="shared" si="7"/>
        <v>71.47</v>
      </c>
      <c r="J83" s="38">
        <f t="shared" si="8"/>
        <v>69</v>
      </c>
      <c r="K83" s="22" t="s">
        <v>271</v>
      </c>
      <c r="L83" s="6">
        <f t="shared" si="10"/>
        <v>3.4523112931538903E-2</v>
      </c>
      <c r="N83" s="18"/>
      <c r="O83" s="18"/>
    </row>
    <row r="84" spans="1:15" s="1" customFormat="1" x14ac:dyDescent="0.3">
      <c r="A84" s="11" t="s">
        <v>92</v>
      </c>
      <c r="B84" s="11" t="s">
        <v>92</v>
      </c>
      <c r="C84" s="16" t="s">
        <v>398</v>
      </c>
      <c r="D84" s="37" t="s">
        <v>24</v>
      </c>
      <c r="E84" s="19">
        <v>20</v>
      </c>
      <c r="F84" s="19">
        <v>19.2</v>
      </c>
      <c r="G84" s="38">
        <f t="shared" si="5"/>
        <v>22.790000000000003</v>
      </c>
      <c r="H84" s="38">
        <f t="shared" si="6"/>
        <v>21.12</v>
      </c>
      <c r="I84" s="38">
        <f t="shared" si="7"/>
        <v>23.830000000000002</v>
      </c>
      <c r="J84" s="38">
        <f t="shared" si="8"/>
        <v>22.08</v>
      </c>
      <c r="K84" s="22" t="s">
        <v>272</v>
      </c>
      <c r="L84" s="6">
        <f t="shared" si="10"/>
        <v>7.3277753400614376E-2</v>
      </c>
      <c r="N84" s="18"/>
      <c r="O84" s="18"/>
    </row>
    <row r="85" spans="1:15" s="1" customFormat="1" x14ac:dyDescent="0.3">
      <c r="A85" s="11" t="s">
        <v>93</v>
      </c>
      <c r="B85" s="11" t="s">
        <v>93</v>
      </c>
      <c r="C85" s="12" t="s">
        <v>1305</v>
      </c>
      <c r="D85" s="35" t="s">
        <v>24</v>
      </c>
      <c r="E85" s="19">
        <f>E65+E63</f>
        <v>14.6</v>
      </c>
      <c r="F85" s="19">
        <f>F65+F63</f>
        <v>14.6</v>
      </c>
      <c r="G85" s="38">
        <f t="shared" ref="G85" si="11">ROUNDUP(E85*0.87*1.1/0.84,2)</f>
        <v>16.64</v>
      </c>
      <c r="H85" s="38">
        <f t="shared" ref="H85" si="12">ROUNDUP(F85*1.1,2)</f>
        <v>16.059999999999999</v>
      </c>
      <c r="I85" s="38">
        <f t="shared" ref="I85" si="13">ROUNDUP(E85*0.87*1.15/0.84,2)</f>
        <v>17.39</v>
      </c>
      <c r="J85" s="38">
        <f t="shared" ref="J85" si="14">ROUNDUP(F85*1.15,2)</f>
        <v>16.79</v>
      </c>
      <c r="K85" s="14" t="s">
        <v>1306</v>
      </c>
      <c r="L85" s="6"/>
      <c r="N85" s="18"/>
      <c r="O85" s="18"/>
    </row>
    <row r="86" spans="1:15" s="1" customFormat="1" x14ac:dyDescent="0.3">
      <c r="A86" s="11" t="s">
        <v>94</v>
      </c>
      <c r="B86" s="11" t="s">
        <v>94</v>
      </c>
      <c r="C86" s="16"/>
      <c r="D86" s="37"/>
      <c r="E86" s="19"/>
      <c r="F86" s="19"/>
      <c r="G86" s="38"/>
      <c r="H86" s="38"/>
      <c r="I86" s="38"/>
      <c r="J86" s="38"/>
      <c r="K86" s="22" t="s">
        <v>273</v>
      </c>
      <c r="L86" s="6"/>
      <c r="N86" s="18"/>
      <c r="O86" s="18"/>
    </row>
    <row r="87" spans="1:15" s="1" customFormat="1" x14ac:dyDescent="0.3">
      <c r="A87" s="11" t="s">
        <v>95</v>
      </c>
      <c r="B87" s="11" t="s">
        <v>95</v>
      </c>
      <c r="C87" s="16"/>
      <c r="D87" s="37"/>
      <c r="E87" s="19"/>
      <c r="F87" s="19"/>
      <c r="G87" s="38"/>
      <c r="H87" s="38"/>
      <c r="I87" s="38"/>
      <c r="J87" s="38"/>
      <c r="K87" s="22" t="s">
        <v>273</v>
      </c>
      <c r="L87" s="6"/>
      <c r="N87" s="18"/>
      <c r="O87" s="18"/>
    </row>
    <row r="88" spans="1:15" s="1" customFormat="1" x14ac:dyDescent="0.3">
      <c r="A88" s="11" t="s">
        <v>96</v>
      </c>
      <c r="B88" s="11" t="s">
        <v>96</v>
      </c>
      <c r="C88" s="16"/>
      <c r="D88" s="37"/>
      <c r="E88" s="19"/>
      <c r="F88" s="19"/>
      <c r="G88" s="38"/>
      <c r="H88" s="38"/>
      <c r="I88" s="38"/>
      <c r="J88" s="38"/>
      <c r="K88" s="22" t="s">
        <v>273</v>
      </c>
      <c r="L88" s="6"/>
      <c r="N88" s="18"/>
      <c r="O88" s="18"/>
    </row>
    <row r="89" spans="1:15" s="1" customFormat="1" x14ac:dyDescent="0.3">
      <c r="A89" s="11" t="s">
        <v>97</v>
      </c>
      <c r="B89" s="11" t="s">
        <v>97</v>
      </c>
      <c r="C89" s="16"/>
      <c r="D89" s="37"/>
      <c r="E89" s="19"/>
      <c r="F89" s="19"/>
      <c r="G89" s="38"/>
      <c r="H89" s="38"/>
      <c r="I89" s="38"/>
      <c r="J89" s="38"/>
      <c r="K89" s="22" t="s">
        <v>273</v>
      </c>
      <c r="L89" s="6"/>
      <c r="N89" s="18"/>
      <c r="O89" s="18"/>
    </row>
    <row r="90" spans="1:15" s="1" customFormat="1" x14ac:dyDescent="0.3">
      <c r="A90" s="11" t="s">
        <v>98</v>
      </c>
      <c r="B90" s="11" t="s">
        <v>98</v>
      </c>
      <c r="C90" s="16"/>
      <c r="D90" s="37"/>
      <c r="E90" s="19"/>
      <c r="F90" s="19"/>
      <c r="G90" s="38"/>
      <c r="H90" s="38"/>
      <c r="I90" s="38"/>
      <c r="J90" s="38"/>
      <c r="K90" s="22" t="s">
        <v>273</v>
      </c>
      <c r="L90" s="6"/>
      <c r="N90" s="18"/>
      <c r="O90" s="18"/>
    </row>
    <row r="91" spans="1:15" s="1" customFormat="1" x14ac:dyDescent="0.3">
      <c r="A91" s="11" t="s">
        <v>99</v>
      </c>
      <c r="B91" s="11" t="s">
        <v>99</v>
      </c>
      <c r="C91" s="16"/>
      <c r="D91" s="37"/>
      <c r="E91" s="19"/>
      <c r="F91" s="19"/>
      <c r="G91" s="38"/>
      <c r="H91" s="38"/>
      <c r="I91" s="38"/>
      <c r="J91" s="38"/>
      <c r="K91" s="22" t="s">
        <v>273</v>
      </c>
      <c r="L91" s="6"/>
      <c r="N91" s="18"/>
      <c r="O91" s="18"/>
    </row>
    <row r="92" spans="1:15" s="1" customFormat="1" x14ac:dyDescent="0.3">
      <c r="A92" s="11" t="s">
        <v>100</v>
      </c>
      <c r="B92" s="11" t="s">
        <v>100</v>
      </c>
      <c r="C92" s="16"/>
      <c r="D92" s="37"/>
      <c r="E92" s="19"/>
      <c r="F92" s="19"/>
      <c r="G92" s="38"/>
      <c r="H92" s="38"/>
      <c r="I92" s="38"/>
      <c r="J92" s="38"/>
      <c r="K92" s="22" t="s">
        <v>273</v>
      </c>
      <c r="L92" s="6"/>
      <c r="N92" s="18"/>
      <c r="O92" s="18"/>
    </row>
    <row r="93" spans="1:15" s="1" customFormat="1" x14ac:dyDescent="0.3">
      <c r="A93" s="11" t="s">
        <v>101</v>
      </c>
      <c r="B93" s="11" t="s">
        <v>101</v>
      </c>
      <c r="C93" s="16"/>
      <c r="D93" s="37"/>
      <c r="E93" s="19"/>
      <c r="F93" s="19"/>
      <c r="G93" s="38"/>
      <c r="H93" s="38"/>
      <c r="I93" s="38"/>
      <c r="J93" s="38"/>
      <c r="K93" s="22" t="s">
        <v>273</v>
      </c>
      <c r="L93" s="6"/>
      <c r="N93" s="18"/>
      <c r="O93" s="18"/>
    </row>
    <row r="94" spans="1:15" s="1" customFormat="1" x14ac:dyDescent="0.3">
      <c r="A94" s="11" t="s">
        <v>209</v>
      </c>
      <c r="B94" s="11" t="s">
        <v>209</v>
      </c>
      <c r="C94" s="16"/>
      <c r="D94" s="37"/>
      <c r="E94" s="19"/>
      <c r="F94" s="19"/>
      <c r="G94" s="38"/>
      <c r="H94" s="38"/>
      <c r="I94" s="38"/>
      <c r="J94" s="38"/>
      <c r="K94" s="17" t="s">
        <v>273</v>
      </c>
      <c r="L94" s="6"/>
      <c r="N94" s="18"/>
      <c r="O94" s="18"/>
    </row>
    <row r="95" spans="1:15" s="1" customFormat="1" ht="21" x14ac:dyDescent="0.4">
      <c r="A95" s="10"/>
      <c r="B95" s="10"/>
      <c r="C95" s="39" t="s">
        <v>102</v>
      </c>
      <c r="D95" s="37"/>
      <c r="E95" s="19"/>
      <c r="F95" s="19"/>
      <c r="G95" s="38"/>
      <c r="H95" s="38"/>
      <c r="I95" s="38"/>
      <c r="J95" s="38"/>
      <c r="K95" s="17" t="s">
        <v>273</v>
      </c>
      <c r="L95" s="6"/>
      <c r="N95" s="18"/>
      <c r="O95" s="18"/>
    </row>
    <row r="96" spans="1:15" s="1" customFormat="1" x14ac:dyDescent="0.3">
      <c r="A96" s="11" t="s">
        <v>103</v>
      </c>
      <c r="B96" s="11" t="s">
        <v>103</v>
      </c>
      <c r="C96" s="16" t="s">
        <v>399</v>
      </c>
      <c r="D96" s="37" t="s">
        <v>104</v>
      </c>
      <c r="E96" s="19">
        <v>7.74</v>
      </c>
      <c r="F96" s="19">
        <v>7.43</v>
      </c>
      <c r="G96" s="38">
        <f t="shared" ref="G96:G159" si="15">ROUNDUP(E96*0.87*1.1/0.84,2)</f>
        <v>8.82</v>
      </c>
      <c r="H96" s="38">
        <f t="shared" ref="H96:H159" si="16">ROUNDUP(F96*1.1,2)</f>
        <v>8.18</v>
      </c>
      <c r="I96" s="38">
        <f t="shared" ref="I96:I159" si="17">ROUNDUP(E96*0.87*1.15/0.84,2)</f>
        <v>9.2200000000000006</v>
      </c>
      <c r="J96" s="38">
        <f t="shared" ref="J96:J159" si="18">ROUNDUP(F96*1.15,2)</f>
        <v>8.5499999999999989</v>
      </c>
      <c r="K96" s="14" t="s">
        <v>274</v>
      </c>
      <c r="L96" s="6">
        <f t="shared" ref="L96:L127" si="19">(-H96+G96)/G96</f>
        <v>7.2562358276644048E-2</v>
      </c>
      <c r="N96" s="18"/>
      <c r="O96" s="18"/>
    </row>
    <row r="97" spans="1:15" s="1" customFormat="1" x14ac:dyDescent="0.3">
      <c r="A97" s="11" t="s">
        <v>105</v>
      </c>
      <c r="B97" s="11" t="s">
        <v>105</v>
      </c>
      <c r="C97" s="16" t="s">
        <v>400</v>
      </c>
      <c r="D97" s="37" t="s">
        <v>104</v>
      </c>
      <c r="E97" s="19">
        <v>7.74</v>
      </c>
      <c r="F97" s="19">
        <v>7.43</v>
      </c>
      <c r="G97" s="38">
        <f t="shared" si="15"/>
        <v>8.82</v>
      </c>
      <c r="H97" s="38">
        <f t="shared" si="16"/>
        <v>8.18</v>
      </c>
      <c r="I97" s="38">
        <f t="shared" si="17"/>
        <v>9.2200000000000006</v>
      </c>
      <c r="J97" s="38">
        <f t="shared" si="18"/>
        <v>8.5499999999999989</v>
      </c>
      <c r="K97" s="14" t="s">
        <v>274</v>
      </c>
      <c r="L97" s="6">
        <f t="shared" si="19"/>
        <v>7.2562358276644048E-2</v>
      </c>
      <c r="N97" s="18"/>
      <c r="O97" s="18"/>
    </row>
    <row r="98" spans="1:15" s="1" customFormat="1" x14ac:dyDescent="0.3">
      <c r="A98" s="11" t="s">
        <v>106</v>
      </c>
      <c r="B98" s="11" t="s">
        <v>106</v>
      </c>
      <c r="C98" s="16" t="s">
        <v>401</v>
      </c>
      <c r="D98" s="37" t="s">
        <v>31</v>
      </c>
      <c r="E98" s="19">
        <v>8.84</v>
      </c>
      <c r="F98" s="19">
        <v>8.84</v>
      </c>
      <c r="G98" s="38">
        <f t="shared" si="15"/>
        <v>10.08</v>
      </c>
      <c r="H98" s="38">
        <f t="shared" si="16"/>
        <v>9.73</v>
      </c>
      <c r="I98" s="38">
        <f t="shared" si="17"/>
        <v>10.53</v>
      </c>
      <c r="J98" s="38">
        <f t="shared" si="18"/>
        <v>10.17</v>
      </c>
      <c r="K98" s="23" t="s">
        <v>275</v>
      </c>
      <c r="L98" s="6">
        <f t="shared" si="19"/>
        <v>3.4722222222222189E-2</v>
      </c>
      <c r="N98" s="18"/>
      <c r="O98" s="18"/>
    </row>
    <row r="99" spans="1:15" s="1" customFormat="1" x14ac:dyDescent="0.3">
      <c r="A99" s="11" t="s">
        <v>107</v>
      </c>
      <c r="B99" s="11" t="s">
        <v>107</v>
      </c>
      <c r="C99" s="16" t="s">
        <v>402</v>
      </c>
      <c r="D99" s="37" t="s">
        <v>31</v>
      </c>
      <c r="E99" s="19">
        <v>10.91</v>
      </c>
      <c r="F99" s="19">
        <v>10.91</v>
      </c>
      <c r="G99" s="38">
        <f t="shared" si="15"/>
        <v>12.43</v>
      </c>
      <c r="H99" s="38">
        <f t="shared" si="16"/>
        <v>12.01</v>
      </c>
      <c r="I99" s="38">
        <f t="shared" si="17"/>
        <v>13</v>
      </c>
      <c r="J99" s="38">
        <f t="shared" si="18"/>
        <v>12.549999999999999</v>
      </c>
      <c r="K99" s="23" t="s">
        <v>276</v>
      </c>
      <c r="L99" s="6">
        <f t="shared" si="19"/>
        <v>3.3789219629927592E-2</v>
      </c>
      <c r="N99" s="18"/>
      <c r="O99" s="18"/>
    </row>
    <row r="100" spans="1:15" s="1" customFormat="1" x14ac:dyDescent="0.3">
      <c r="A100" s="11" t="s">
        <v>108</v>
      </c>
      <c r="B100" s="11" t="s">
        <v>108</v>
      </c>
      <c r="C100" s="16" t="s">
        <v>403</v>
      </c>
      <c r="D100" s="37" t="s">
        <v>31</v>
      </c>
      <c r="E100" s="19">
        <v>12.379999999999999</v>
      </c>
      <c r="F100" s="19">
        <v>12.379999999999999</v>
      </c>
      <c r="G100" s="38">
        <f t="shared" si="15"/>
        <v>14.11</v>
      </c>
      <c r="H100" s="38">
        <f t="shared" si="16"/>
        <v>13.62</v>
      </c>
      <c r="I100" s="38">
        <f t="shared" si="17"/>
        <v>14.75</v>
      </c>
      <c r="J100" s="38">
        <f t="shared" si="18"/>
        <v>14.24</v>
      </c>
      <c r="K100" s="23" t="s">
        <v>277</v>
      </c>
      <c r="L100" s="6">
        <f t="shared" si="19"/>
        <v>3.472714386959605E-2</v>
      </c>
      <c r="N100" s="18"/>
      <c r="O100" s="18"/>
    </row>
    <row r="101" spans="1:15" s="1" customFormat="1" x14ac:dyDescent="0.3">
      <c r="A101" s="11" t="s">
        <v>109</v>
      </c>
      <c r="B101" s="11" t="s">
        <v>109</v>
      </c>
      <c r="C101" s="16" t="s">
        <v>404</v>
      </c>
      <c r="D101" s="37" t="s">
        <v>31</v>
      </c>
      <c r="E101" s="19">
        <v>16.450000000000003</v>
      </c>
      <c r="F101" s="19">
        <v>16.450000000000003</v>
      </c>
      <c r="G101" s="38">
        <f t="shared" si="15"/>
        <v>18.75</v>
      </c>
      <c r="H101" s="38">
        <f t="shared" si="16"/>
        <v>18.100000000000001</v>
      </c>
      <c r="I101" s="38">
        <f t="shared" si="17"/>
        <v>19.600000000000001</v>
      </c>
      <c r="J101" s="38">
        <f t="shared" si="18"/>
        <v>18.920000000000002</v>
      </c>
      <c r="K101" s="23" t="s">
        <v>278</v>
      </c>
      <c r="L101" s="6">
        <f t="shared" si="19"/>
        <v>3.4666666666666589E-2</v>
      </c>
      <c r="N101" s="18"/>
      <c r="O101" s="18"/>
    </row>
    <row r="102" spans="1:15" s="1" customFormat="1" x14ac:dyDescent="0.3">
      <c r="A102" s="11" t="s">
        <v>110</v>
      </c>
      <c r="B102" s="11" t="s">
        <v>110</v>
      </c>
      <c r="C102" s="16" t="s">
        <v>405</v>
      </c>
      <c r="D102" s="37" t="s">
        <v>31</v>
      </c>
      <c r="E102" s="19">
        <v>11.61</v>
      </c>
      <c r="F102" s="19">
        <v>11.61</v>
      </c>
      <c r="G102" s="38">
        <f t="shared" si="15"/>
        <v>13.23</v>
      </c>
      <c r="H102" s="38">
        <f t="shared" si="16"/>
        <v>12.78</v>
      </c>
      <c r="I102" s="38">
        <f t="shared" si="17"/>
        <v>13.83</v>
      </c>
      <c r="J102" s="38">
        <f t="shared" si="18"/>
        <v>13.36</v>
      </c>
      <c r="K102" s="24" t="s">
        <v>279</v>
      </c>
      <c r="L102" s="6">
        <f t="shared" si="19"/>
        <v>3.401360544217695E-2</v>
      </c>
      <c r="N102" s="18"/>
      <c r="O102" s="18"/>
    </row>
    <row r="103" spans="1:15" s="1" customFormat="1" x14ac:dyDescent="0.3">
      <c r="A103" s="11" t="s">
        <v>111</v>
      </c>
      <c r="B103" s="11" t="s">
        <v>111</v>
      </c>
      <c r="C103" s="16" t="s">
        <v>406</v>
      </c>
      <c r="D103" s="37" t="s">
        <v>31</v>
      </c>
      <c r="E103" s="19">
        <v>12.75</v>
      </c>
      <c r="F103" s="19">
        <v>12.75</v>
      </c>
      <c r="G103" s="38">
        <f t="shared" si="15"/>
        <v>14.53</v>
      </c>
      <c r="H103" s="38">
        <f t="shared" si="16"/>
        <v>14.03</v>
      </c>
      <c r="I103" s="38">
        <f t="shared" si="17"/>
        <v>15.19</v>
      </c>
      <c r="J103" s="38">
        <f t="shared" si="18"/>
        <v>14.67</v>
      </c>
      <c r="K103" s="23" t="s">
        <v>280</v>
      </c>
      <c r="L103" s="6">
        <f t="shared" si="19"/>
        <v>3.4411562284927734E-2</v>
      </c>
      <c r="N103" s="18"/>
      <c r="O103" s="18"/>
    </row>
    <row r="104" spans="1:15" s="1" customFormat="1" x14ac:dyDescent="0.3">
      <c r="A104" s="11" t="s">
        <v>112</v>
      </c>
      <c r="B104" s="11" t="s">
        <v>112</v>
      </c>
      <c r="C104" s="16" t="s">
        <v>407</v>
      </c>
      <c r="D104" s="37" t="s">
        <v>31</v>
      </c>
      <c r="E104" s="19">
        <v>16.48</v>
      </c>
      <c r="F104" s="19">
        <v>16.48</v>
      </c>
      <c r="G104" s="38">
        <f t="shared" si="15"/>
        <v>18.78</v>
      </c>
      <c r="H104" s="38">
        <f t="shared" si="16"/>
        <v>18.130000000000003</v>
      </c>
      <c r="I104" s="38">
        <f t="shared" si="17"/>
        <v>19.630000000000003</v>
      </c>
      <c r="J104" s="38">
        <f t="shared" si="18"/>
        <v>18.96</v>
      </c>
      <c r="K104" s="24" t="s">
        <v>281</v>
      </c>
      <c r="L104" s="6">
        <f t="shared" si="19"/>
        <v>3.4611288604898753E-2</v>
      </c>
      <c r="N104" s="18"/>
      <c r="O104" s="18"/>
    </row>
    <row r="105" spans="1:15" s="1" customFormat="1" x14ac:dyDescent="0.3">
      <c r="A105" s="11" t="s">
        <v>113</v>
      </c>
      <c r="B105" s="11" t="s">
        <v>113</v>
      </c>
      <c r="C105" s="16" t="s">
        <v>408</v>
      </c>
      <c r="D105" s="37" t="s">
        <v>31</v>
      </c>
      <c r="E105" s="19">
        <v>19.150000000000002</v>
      </c>
      <c r="F105" s="19">
        <v>19.150000000000002</v>
      </c>
      <c r="G105" s="38">
        <f t="shared" si="15"/>
        <v>21.82</v>
      </c>
      <c r="H105" s="38">
        <f t="shared" si="16"/>
        <v>21.07</v>
      </c>
      <c r="I105" s="38">
        <f t="shared" si="17"/>
        <v>22.810000000000002</v>
      </c>
      <c r="J105" s="38">
        <f t="shared" si="18"/>
        <v>22.03</v>
      </c>
      <c r="K105" s="23" t="s">
        <v>282</v>
      </c>
      <c r="L105" s="6">
        <f t="shared" si="19"/>
        <v>3.4372135655362054E-2</v>
      </c>
      <c r="N105" s="18"/>
      <c r="O105" s="18"/>
    </row>
    <row r="106" spans="1:15" s="1" customFormat="1" x14ac:dyDescent="0.3">
      <c r="A106" s="11" t="s">
        <v>114</v>
      </c>
      <c r="B106" s="11" t="s">
        <v>114</v>
      </c>
      <c r="C106" s="16" t="s">
        <v>409</v>
      </c>
      <c r="D106" s="37" t="s">
        <v>31</v>
      </c>
      <c r="E106" s="19">
        <v>6.33</v>
      </c>
      <c r="F106" s="19">
        <v>6.08</v>
      </c>
      <c r="G106" s="38">
        <f t="shared" si="15"/>
        <v>7.22</v>
      </c>
      <c r="H106" s="38">
        <f t="shared" si="16"/>
        <v>6.6899999999999995</v>
      </c>
      <c r="I106" s="38">
        <f t="shared" si="17"/>
        <v>7.54</v>
      </c>
      <c r="J106" s="38">
        <f t="shared" si="18"/>
        <v>7</v>
      </c>
      <c r="K106" s="17" t="s">
        <v>283</v>
      </c>
      <c r="L106" s="6">
        <f t="shared" si="19"/>
        <v>7.3407202216066517E-2</v>
      </c>
      <c r="N106" s="18"/>
      <c r="O106" s="18"/>
    </row>
    <row r="107" spans="1:15" s="1" customFormat="1" x14ac:dyDescent="0.3">
      <c r="A107" s="11" t="s">
        <v>115</v>
      </c>
      <c r="B107" s="11" t="s">
        <v>115</v>
      </c>
      <c r="C107" s="16" t="s">
        <v>410</v>
      </c>
      <c r="D107" s="37" t="s">
        <v>31</v>
      </c>
      <c r="E107" s="19">
        <v>8.24</v>
      </c>
      <c r="F107" s="19">
        <v>7.91</v>
      </c>
      <c r="G107" s="38">
        <f t="shared" si="15"/>
        <v>9.39</v>
      </c>
      <c r="H107" s="38">
        <f t="shared" si="16"/>
        <v>8.7099999999999991</v>
      </c>
      <c r="I107" s="38">
        <f t="shared" si="17"/>
        <v>9.82</v>
      </c>
      <c r="J107" s="38">
        <f t="shared" si="18"/>
        <v>9.1</v>
      </c>
      <c r="K107" s="17" t="s">
        <v>284</v>
      </c>
      <c r="L107" s="6">
        <f t="shared" si="19"/>
        <v>7.2417465388711549E-2</v>
      </c>
      <c r="N107" s="18"/>
      <c r="O107" s="18"/>
    </row>
    <row r="108" spans="1:15" s="1" customFormat="1" x14ac:dyDescent="0.3">
      <c r="A108" s="11" t="s">
        <v>116</v>
      </c>
      <c r="B108" s="11" t="s">
        <v>116</v>
      </c>
      <c r="C108" s="16" t="s">
        <v>411</v>
      </c>
      <c r="D108" s="37" t="s">
        <v>31</v>
      </c>
      <c r="E108" s="19">
        <v>27.6</v>
      </c>
      <c r="F108" s="19">
        <v>26.5</v>
      </c>
      <c r="G108" s="38">
        <f t="shared" si="15"/>
        <v>31.450000000000003</v>
      </c>
      <c r="H108" s="38">
        <f t="shared" si="16"/>
        <v>29.15</v>
      </c>
      <c r="I108" s="38">
        <f t="shared" si="17"/>
        <v>32.879999999999995</v>
      </c>
      <c r="J108" s="38">
        <f t="shared" si="18"/>
        <v>30.48</v>
      </c>
      <c r="K108" s="24" t="s">
        <v>285</v>
      </c>
      <c r="L108" s="6">
        <f t="shared" si="19"/>
        <v>7.3131955484896788E-2</v>
      </c>
      <c r="N108" s="18"/>
      <c r="O108" s="18"/>
    </row>
    <row r="109" spans="1:15" s="1" customFormat="1" x14ac:dyDescent="0.3">
      <c r="A109" s="11" t="s">
        <v>117</v>
      </c>
      <c r="B109" s="11" t="s">
        <v>117</v>
      </c>
      <c r="C109" s="16" t="s">
        <v>412</v>
      </c>
      <c r="D109" s="37" t="s">
        <v>31</v>
      </c>
      <c r="E109" s="19">
        <v>27.6</v>
      </c>
      <c r="F109" s="19">
        <v>26.5</v>
      </c>
      <c r="G109" s="38">
        <f t="shared" si="15"/>
        <v>31.450000000000003</v>
      </c>
      <c r="H109" s="38">
        <f t="shared" si="16"/>
        <v>29.15</v>
      </c>
      <c r="I109" s="38">
        <f t="shared" si="17"/>
        <v>32.879999999999995</v>
      </c>
      <c r="J109" s="38">
        <f t="shared" si="18"/>
        <v>30.48</v>
      </c>
      <c r="K109" s="24" t="s">
        <v>285</v>
      </c>
      <c r="L109" s="6">
        <f t="shared" si="19"/>
        <v>7.3131955484896788E-2</v>
      </c>
      <c r="N109" s="18"/>
      <c r="O109" s="18"/>
    </row>
    <row r="110" spans="1:15" s="1" customFormat="1" x14ac:dyDescent="0.3">
      <c r="A110" s="11" t="s">
        <v>118</v>
      </c>
      <c r="B110" s="11" t="s">
        <v>118</v>
      </c>
      <c r="C110" s="16" t="s">
        <v>413</v>
      </c>
      <c r="D110" s="37" t="s">
        <v>31</v>
      </c>
      <c r="E110" s="19">
        <v>34</v>
      </c>
      <c r="F110" s="19">
        <v>33</v>
      </c>
      <c r="G110" s="38">
        <f t="shared" si="15"/>
        <v>38.739999999999995</v>
      </c>
      <c r="H110" s="38">
        <f t="shared" si="16"/>
        <v>36.299999999999997</v>
      </c>
      <c r="I110" s="38">
        <f t="shared" si="17"/>
        <v>40.5</v>
      </c>
      <c r="J110" s="38">
        <f t="shared" si="18"/>
        <v>37.950000000000003</v>
      </c>
      <c r="K110" s="24" t="s">
        <v>273</v>
      </c>
      <c r="L110" s="6">
        <f t="shared" si="19"/>
        <v>6.298399586990186E-2</v>
      </c>
      <c r="N110" s="18"/>
      <c r="O110" s="18"/>
    </row>
    <row r="111" spans="1:15" s="1" customFormat="1" x14ac:dyDescent="0.3">
      <c r="A111" s="11" t="s">
        <v>119</v>
      </c>
      <c r="B111" s="11" t="s">
        <v>119</v>
      </c>
      <c r="C111" s="16" t="s">
        <v>414</v>
      </c>
      <c r="D111" s="37" t="s">
        <v>31</v>
      </c>
      <c r="E111" s="19">
        <v>37</v>
      </c>
      <c r="F111" s="19">
        <v>36</v>
      </c>
      <c r="G111" s="38">
        <f t="shared" si="15"/>
        <v>42.16</v>
      </c>
      <c r="H111" s="38">
        <f t="shared" si="16"/>
        <v>39.6</v>
      </c>
      <c r="I111" s="38">
        <f t="shared" si="17"/>
        <v>44.07</v>
      </c>
      <c r="J111" s="38">
        <f t="shared" si="18"/>
        <v>41.4</v>
      </c>
      <c r="K111" s="17" t="s">
        <v>273</v>
      </c>
      <c r="L111" s="6">
        <f t="shared" si="19"/>
        <v>6.0721062618595716E-2</v>
      </c>
      <c r="N111" s="18"/>
      <c r="O111" s="18"/>
    </row>
    <row r="112" spans="1:15" s="1" customFormat="1" x14ac:dyDescent="0.3">
      <c r="A112" s="11" t="s">
        <v>120</v>
      </c>
      <c r="B112" s="11" t="s">
        <v>120</v>
      </c>
      <c r="C112" s="16" t="s">
        <v>415</v>
      </c>
      <c r="D112" s="37" t="s">
        <v>31</v>
      </c>
      <c r="E112" s="19">
        <v>39</v>
      </c>
      <c r="F112" s="19">
        <v>38</v>
      </c>
      <c r="G112" s="38">
        <f t="shared" si="15"/>
        <v>44.44</v>
      </c>
      <c r="H112" s="38">
        <f t="shared" si="16"/>
        <v>41.8</v>
      </c>
      <c r="I112" s="38">
        <f t="shared" si="17"/>
        <v>46.46</v>
      </c>
      <c r="J112" s="38">
        <f t="shared" si="18"/>
        <v>43.7</v>
      </c>
      <c r="K112" s="17" t="s">
        <v>273</v>
      </c>
      <c r="L112" s="6">
        <f t="shared" si="19"/>
        <v>5.9405940594059424E-2</v>
      </c>
      <c r="N112" s="18"/>
      <c r="O112" s="18"/>
    </row>
    <row r="113" spans="1:15" s="1" customFormat="1" x14ac:dyDescent="0.3">
      <c r="A113" s="11" t="s">
        <v>121</v>
      </c>
      <c r="B113" s="11" t="s">
        <v>121</v>
      </c>
      <c r="C113" s="16" t="s">
        <v>416</v>
      </c>
      <c r="D113" s="37" t="s">
        <v>31</v>
      </c>
      <c r="E113" s="19">
        <v>42.55</v>
      </c>
      <c r="F113" s="19">
        <v>40.85</v>
      </c>
      <c r="G113" s="38">
        <f t="shared" si="15"/>
        <v>48.48</v>
      </c>
      <c r="H113" s="38">
        <f t="shared" si="16"/>
        <v>44.94</v>
      </c>
      <c r="I113" s="38">
        <f t="shared" si="17"/>
        <v>50.69</v>
      </c>
      <c r="J113" s="38">
        <f t="shared" si="18"/>
        <v>46.98</v>
      </c>
      <c r="K113" s="24" t="s">
        <v>286</v>
      </c>
      <c r="L113" s="6">
        <f t="shared" si="19"/>
        <v>7.3019801980198001E-2</v>
      </c>
      <c r="N113" s="18"/>
      <c r="O113" s="18"/>
    </row>
    <row r="114" spans="1:15" s="1" customFormat="1" x14ac:dyDescent="0.3">
      <c r="A114" s="11" t="s">
        <v>122</v>
      </c>
      <c r="B114" s="11" t="s">
        <v>122</v>
      </c>
      <c r="C114" s="16" t="s">
        <v>417</v>
      </c>
      <c r="D114" s="37" t="s">
        <v>13</v>
      </c>
      <c r="E114" s="19">
        <v>26.2</v>
      </c>
      <c r="F114" s="19">
        <v>24.89</v>
      </c>
      <c r="G114" s="38">
        <f t="shared" si="15"/>
        <v>29.85</v>
      </c>
      <c r="H114" s="38">
        <f t="shared" si="16"/>
        <v>27.380000000000003</v>
      </c>
      <c r="I114" s="38">
        <f t="shared" si="17"/>
        <v>31.21</v>
      </c>
      <c r="J114" s="38">
        <f t="shared" si="18"/>
        <v>28.630000000000003</v>
      </c>
      <c r="K114" s="17" t="s">
        <v>287</v>
      </c>
      <c r="L114" s="6">
        <f t="shared" si="19"/>
        <v>8.274706867671687E-2</v>
      </c>
      <c r="N114" s="18"/>
      <c r="O114" s="18"/>
    </row>
    <row r="115" spans="1:15" s="1" customFormat="1" x14ac:dyDescent="0.3">
      <c r="A115" s="11" t="s">
        <v>123</v>
      </c>
      <c r="B115" s="11" t="s">
        <v>123</v>
      </c>
      <c r="C115" s="16" t="s">
        <v>418</v>
      </c>
      <c r="D115" s="37" t="s">
        <v>13</v>
      </c>
      <c r="E115" s="19">
        <v>42</v>
      </c>
      <c r="F115" s="19">
        <v>39.9</v>
      </c>
      <c r="G115" s="38">
        <f t="shared" si="15"/>
        <v>47.85</v>
      </c>
      <c r="H115" s="38">
        <f t="shared" si="16"/>
        <v>43.89</v>
      </c>
      <c r="I115" s="38">
        <f t="shared" si="17"/>
        <v>50.03</v>
      </c>
      <c r="J115" s="38">
        <f t="shared" si="18"/>
        <v>45.89</v>
      </c>
      <c r="K115" s="17" t="s">
        <v>287</v>
      </c>
      <c r="L115" s="6">
        <f t="shared" si="19"/>
        <v>8.2758620689655185E-2</v>
      </c>
      <c r="N115" s="18"/>
      <c r="O115" s="18"/>
    </row>
    <row r="116" spans="1:15" s="1" customFormat="1" x14ac:dyDescent="0.3">
      <c r="A116" s="11" t="s">
        <v>124</v>
      </c>
      <c r="B116" s="11" t="s">
        <v>124</v>
      </c>
      <c r="C116" s="16" t="s">
        <v>419</v>
      </c>
      <c r="D116" s="37" t="s">
        <v>13</v>
      </c>
      <c r="E116" s="19">
        <v>65</v>
      </c>
      <c r="F116" s="19">
        <v>61.75</v>
      </c>
      <c r="G116" s="38">
        <f t="shared" si="15"/>
        <v>74.06</v>
      </c>
      <c r="H116" s="38">
        <f t="shared" si="16"/>
        <v>67.930000000000007</v>
      </c>
      <c r="I116" s="38">
        <f t="shared" si="17"/>
        <v>77.42</v>
      </c>
      <c r="J116" s="38">
        <f t="shared" si="18"/>
        <v>71.02000000000001</v>
      </c>
      <c r="K116" s="17" t="s">
        <v>287</v>
      </c>
      <c r="L116" s="6">
        <f t="shared" si="19"/>
        <v>8.2770726438023162E-2</v>
      </c>
      <c r="N116" s="18"/>
      <c r="O116" s="18"/>
    </row>
    <row r="117" spans="1:15" s="1" customFormat="1" x14ac:dyDescent="0.3">
      <c r="A117" s="11" t="s">
        <v>125</v>
      </c>
      <c r="B117" s="11" t="s">
        <v>125</v>
      </c>
      <c r="C117" s="16" t="s">
        <v>332</v>
      </c>
      <c r="D117" s="37" t="s">
        <v>15</v>
      </c>
      <c r="E117" s="19">
        <v>0.12</v>
      </c>
      <c r="F117" s="19">
        <v>0.12</v>
      </c>
      <c r="G117" s="38">
        <f t="shared" si="15"/>
        <v>0.14000000000000001</v>
      </c>
      <c r="H117" s="38">
        <f t="shared" si="16"/>
        <v>0.14000000000000001</v>
      </c>
      <c r="I117" s="38">
        <f t="shared" si="17"/>
        <v>0.15000000000000002</v>
      </c>
      <c r="J117" s="38">
        <f t="shared" si="18"/>
        <v>0.14000000000000001</v>
      </c>
      <c r="K117" s="17" t="s">
        <v>288</v>
      </c>
      <c r="L117" s="6">
        <f t="shared" si="19"/>
        <v>0</v>
      </c>
      <c r="N117" s="18"/>
      <c r="O117" s="18"/>
    </row>
    <row r="118" spans="1:15" s="1" customFormat="1" x14ac:dyDescent="0.3">
      <c r="A118" s="11" t="s">
        <v>126</v>
      </c>
      <c r="B118" s="11" t="s">
        <v>126</v>
      </c>
      <c r="C118" s="16" t="s">
        <v>420</v>
      </c>
      <c r="D118" s="37" t="s">
        <v>15</v>
      </c>
      <c r="E118" s="19">
        <v>0.3</v>
      </c>
      <c r="F118" s="19">
        <v>0.3</v>
      </c>
      <c r="G118" s="38">
        <f t="shared" si="15"/>
        <v>0.35000000000000003</v>
      </c>
      <c r="H118" s="38">
        <f t="shared" si="16"/>
        <v>0.33</v>
      </c>
      <c r="I118" s="38">
        <f t="shared" si="17"/>
        <v>0.36</v>
      </c>
      <c r="J118" s="38">
        <f t="shared" si="18"/>
        <v>0.35000000000000003</v>
      </c>
      <c r="K118" s="17" t="s">
        <v>288</v>
      </c>
      <c r="L118" s="6">
        <f t="shared" si="19"/>
        <v>5.714285714285719E-2</v>
      </c>
      <c r="N118" s="18"/>
      <c r="O118" s="18"/>
    </row>
    <row r="119" spans="1:15" s="1" customFormat="1" x14ac:dyDescent="0.3">
      <c r="A119" s="11" t="s">
        <v>127</v>
      </c>
      <c r="B119" s="11" t="s">
        <v>127</v>
      </c>
      <c r="C119" s="16" t="s">
        <v>421</v>
      </c>
      <c r="D119" s="37" t="s">
        <v>24</v>
      </c>
      <c r="E119" s="19">
        <v>1.2</v>
      </c>
      <c r="F119" s="19">
        <v>1.2</v>
      </c>
      <c r="G119" s="38">
        <f t="shared" si="15"/>
        <v>1.37</v>
      </c>
      <c r="H119" s="38">
        <f t="shared" si="16"/>
        <v>1.32</v>
      </c>
      <c r="I119" s="38">
        <f t="shared" si="17"/>
        <v>1.43</v>
      </c>
      <c r="J119" s="38">
        <f t="shared" si="18"/>
        <v>1.38</v>
      </c>
      <c r="K119" s="17" t="s">
        <v>288</v>
      </c>
      <c r="L119" s="6">
        <f t="shared" si="19"/>
        <v>3.6496350364963535E-2</v>
      </c>
      <c r="N119" s="18"/>
      <c r="O119" s="18"/>
    </row>
    <row r="120" spans="1:15" s="1" customFormat="1" x14ac:dyDescent="0.3">
      <c r="A120" s="11" t="s">
        <v>128</v>
      </c>
      <c r="B120" s="11" t="s">
        <v>128</v>
      </c>
      <c r="C120" s="16" t="s">
        <v>422</v>
      </c>
      <c r="D120" s="37" t="s">
        <v>24</v>
      </c>
      <c r="E120" s="19">
        <v>0.5</v>
      </c>
      <c r="F120" s="19">
        <v>0.5</v>
      </c>
      <c r="G120" s="38">
        <f t="shared" si="15"/>
        <v>0.57000000000000006</v>
      </c>
      <c r="H120" s="38">
        <f t="shared" si="16"/>
        <v>0.55000000000000004</v>
      </c>
      <c r="I120" s="38">
        <f t="shared" si="17"/>
        <v>0.6</v>
      </c>
      <c r="J120" s="38">
        <f t="shared" si="18"/>
        <v>0.57999999999999996</v>
      </c>
      <c r="K120" s="17" t="s">
        <v>288</v>
      </c>
      <c r="L120" s="6">
        <f t="shared" si="19"/>
        <v>3.508771929824564E-2</v>
      </c>
      <c r="N120" s="18"/>
      <c r="O120" s="18"/>
    </row>
    <row r="121" spans="1:15" s="1" customFormat="1" x14ac:dyDescent="0.3">
      <c r="A121" s="11" t="s">
        <v>129</v>
      </c>
      <c r="B121" s="11" t="s">
        <v>129</v>
      </c>
      <c r="C121" s="16" t="s">
        <v>423</v>
      </c>
      <c r="D121" s="37" t="s">
        <v>24</v>
      </c>
      <c r="E121" s="19">
        <v>0.4</v>
      </c>
      <c r="F121" s="19">
        <v>0.4</v>
      </c>
      <c r="G121" s="38">
        <f t="shared" si="15"/>
        <v>0.46</v>
      </c>
      <c r="H121" s="38">
        <f t="shared" si="16"/>
        <v>0.44</v>
      </c>
      <c r="I121" s="38">
        <f t="shared" si="17"/>
        <v>0.48</v>
      </c>
      <c r="J121" s="38">
        <f t="shared" si="18"/>
        <v>0.46</v>
      </c>
      <c r="K121" s="17" t="s">
        <v>288</v>
      </c>
      <c r="L121" s="6">
        <f t="shared" si="19"/>
        <v>4.3478260869565251E-2</v>
      </c>
      <c r="N121" s="18"/>
      <c r="O121" s="18"/>
    </row>
    <row r="122" spans="1:15" s="1" customFormat="1" x14ac:dyDescent="0.3">
      <c r="A122" s="11" t="s">
        <v>130</v>
      </c>
      <c r="B122" s="11" t="s">
        <v>130</v>
      </c>
      <c r="C122" s="16" t="s">
        <v>424</v>
      </c>
      <c r="D122" s="37" t="s">
        <v>24</v>
      </c>
      <c r="E122" s="19">
        <v>0.4</v>
      </c>
      <c r="F122" s="19">
        <v>0.4</v>
      </c>
      <c r="G122" s="38">
        <f t="shared" si="15"/>
        <v>0.46</v>
      </c>
      <c r="H122" s="38">
        <f t="shared" si="16"/>
        <v>0.44</v>
      </c>
      <c r="I122" s="38">
        <f t="shared" si="17"/>
        <v>0.48</v>
      </c>
      <c r="J122" s="38">
        <f t="shared" si="18"/>
        <v>0.46</v>
      </c>
      <c r="K122" s="17" t="s">
        <v>288</v>
      </c>
      <c r="L122" s="6">
        <f t="shared" si="19"/>
        <v>4.3478260869565251E-2</v>
      </c>
      <c r="N122" s="18"/>
      <c r="O122" s="18"/>
    </row>
    <row r="123" spans="1:15" s="1" customFormat="1" x14ac:dyDescent="0.3">
      <c r="A123" s="11" t="s">
        <v>131</v>
      </c>
      <c r="B123" s="11" t="s">
        <v>131</v>
      </c>
      <c r="C123" s="16" t="s">
        <v>425</v>
      </c>
      <c r="D123" s="37" t="s">
        <v>24</v>
      </c>
      <c r="E123" s="19">
        <v>0.5</v>
      </c>
      <c r="F123" s="19">
        <v>0.5</v>
      </c>
      <c r="G123" s="38">
        <f t="shared" si="15"/>
        <v>0.57000000000000006</v>
      </c>
      <c r="H123" s="38">
        <f t="shared" si="16"/>
        <v>0.55000000000000004</v>
      </c>
      <c r="I123" s="38">
        <f t="shared" si="17"/>
        <v>0.6</v>
      </c>
      <c r="J123" s="38">
        <f t="shared" si="18"/>
        <v>0.57999999999999996</v>
      </c>
      <c r="K123" s="17" t="s">
        <v>288</v>
      </c>
      <c r="L123" s="6">
        <f t="shared" si="19"/>
        <v>3.508771929824564E-2</v>
      </c>
      <c r="N123" s="18"/>
      <c r="O123" s="18"/>
    </row>
    <row r="124" spans="1:15" s="1" customFormat="1" x14ac:dyDescent="0.3">
      <c r="A124" s="11" t="s">
        <v>132</v>
      </c>
      <c r="B124" s="11" t="s">
        <v>132</v>
      </c>
      <c r="C124" s="16" t="s">
        <v>426</v>
      </c>
      <c r="D124" s="37" t="s">
        <v>24</v>
      </c>
      <c r="E124" s="19">
        <v>1.6</v>
      </c>
      <c r="F124" s="19">
        <v>1.6</v>
      </c>
      <c r="G124" s="38">
        <f t="shared" si="15"/>
        <v>1.83</v>
      </c>
      <c r="H124" s="38">
        <f t="shared" si="16"/>
        <v>1.76</v>
      </c>
      <c r="I124" s="38">
        <f t="shared" si="17"/>
        <v>1.91</v>
      </c>
      <c r="J124" s="38">
        <f t="shared" si="18"/>
        <v>1.84</v>
      </c>
      <c r="K124" s="17" t="s">
        <v>288</v>
      </c>
      <c r="L124" s="6">
        <f t="shared" si="19"/>
        <v>3.8251366120218615E-2</v>
      </c>
      <c r="N124" s="18"/>
      <c r="O124" s="18"/>
    </row>
    <row r="125" spans="1:15" s="1" customFormat="1" x14ac:dyDescent="0.3">
      <c r="A125" s="11" t="s">
        <v>133</v>
      </c>
      <c r="B125" s="11" t="s">
        <v>133</v>
      </c>
      <c r="C125" s="16" t="s">
        <v>427</v>
      </c>
      <c r="D125" s="37" t="s">
        <v>24</v>
      </c>
      <c r="E125" s="19">
        <v>3</v>
      </c>
      <c r="F125" s="19">
        <v>3</v>
      </c>
      <c r="G125" s="38">
        <f t="shared" si="15"/>
        <v>3.42</v>
      </c>
      <c r="H125" s="38">
        <f t="shared" si="16"/>
        <v>3.3</v>
      </c>
      <c r="I125" s="38">
        <f t="shared" si="17"/>
        <v>3.5799999999999996</v>
      </c>
      <c r="J125" s="38">
        <f t="shared" si="18"/>
        <v>3.45</v>
      </c>
      <c r="K125" s="17" t="s">
        <v>288</v>
      </c>
      <c r="L125" s="6">
        <f t="shared" si="19"/>
        <v>3.5087719298245647E-2</v>
      </c>
      <c r="N125" s="18"/>
      <c r="O125" s="18"/>
    </row>
    <row r="126" spans="1:15" s="1" customFormat="1" x14ac:dyDescent="0.3">
      <c r="A126" s="11" t="s">
        <v>134</v>
      </c>
      <c r="B126" s="11" t="s">
        <v>134</v>
      </c>
      <c r="C126" s="16" t="s">
        <v>428</v>
      </c>
      <c r="D126" s="37" t="s">
        <v>24</v>
      </c>
      <c r="E126" s="19">
        <v>0.1</v>
      </c>
      <c r="F126" s="19">
        <v>0.1</v>
      </c>
      <c r="G126" s="38">
        <f t="shared" si="15"/>
        <v>0.12</v>
      </c>
      <c r="H126" s="38">
        <f t="shared" si="16"/>
        <v>0.11</v>
      </c>
      <c r="I126" s="38">
        <f t="shared" si="17"/>
        <v>0.12</v>
      </c>
      <c r="J126" s="38">
        <f t="shared" si="18"/>
        <v>0.12</v>
      </c>
      <c r="K126" s="17" t="s">
        <v>288</v>
      </c>
      <c r="L126" s="6">
        <f t="shared" si="19"/>
        <v>8.3333333333333301E-2</v>
      </c>
      <c r="N126" s="18"/>
      <c r="O126" s="18"/>
    </row>
    <row r="127" spans="1:15" s="1" customFormat="1" x14ac:dyDescent="0.3">
      <c r="A127" s="11" t="s">
        <v>135</v>
      </c>
      <c r="B127" s="11" t="s">
        <v>135</v>
      </c>
      <c r="C127" s="16" t="s">
        <v>429</v>
      </c>
      <c r="D127" s="37" t="s">
        <v>24</v>
      </c>
      <c r="E127" s="19">
        <v>0.1</v>
      </c>
      <c r="F127" s="19">
        <v>0.1</v>
      </c>
      <c r="G127" s="38">
        <f t="shared" si="15"/>
        <v>0.12</v>
      </c>
      <c r="H127" s="38">
        <f t="shared" si="16"/>
        <v>0.11</v>
      </c>
      <c r="I127" s="38">
        <f t="shared" si="17"/>
        <v>0.12</v>
      </c>
      <c r="J127" s="38">
        <f t="shared" si="18"/>
        <v>0.12</v>
      </c>
      <c r="K127" s="17" t="s">
        <v>288</v>
      </c>
      <c r="L127" s="6">
        <f t="shared" si="19"/>
        <v>8.3333333333333301E-2</v>
      </c>
      <c r="N127" s="18"/>
      <c r="O127" s="18"/>
    </row>
    <row r="128" spans="1:15" s="1" customFormat="1" x14ac:dyDescent="0.3">
      <c r="A128" s="11" t="s">
        <v>136</v>
      </c>
      <c r="B128" s="11" t="s">
        <v>136</v>
      </c>
      <c r="C128" s="16" t="s">
        <v>430</v>
      </c>
      <c r="D128" s="37" t="s">
        <v>24</v>
      </c>
      <c r="E128" s="19">
        <v>0.1</v>
      </c>
      <c r="F128" s="19">
        <v>0.1</v>
      </c>
      <c r="G128" s="38">
        <f t="shared" si="15"/>
        <v>0.12</v>
      </c>
      <c r="H128" s="38">
        <f t="shared" si="16"/>
        <v>0.11</v>
      </c>
      <c r="I128" s="38">
        <f t="shared" si="17"/>
        <v>0.12</v>
      </c>
      <c r="J128" s="38">
        <f t="shared" si="18"/>
        <v>0.12</v>
      </c>
      <c r="K128" s="17" t="s">
        <v>288</v>
      </c>
      <c r="L128" s="6">
        <f t="shared" ref="L128:L159" si="20">(-H128+G128)/G128</f>
        <v>8.3333333333333301E-2</v>
      </c>
      <c r="N128" s="18"/>
      <c r="O128" s="18"/>
    </row>
    <row r="129" spans="1:15" s="1" customFormat="1" x14ac:dyDescent="0.3">
      <c r="A129" s="11" t="s">
        <v>137</v>
      </c>
      <c r="B129" s="11" t="s">
        <v>137</v>
      </c>
      <c r="C129" s="16" t="s">
        <v>431</v>
      </c>
      <c r="D129" s="37" t="s">
        <v>24</v>
      </c>
      <c r="E129" s="19">
        <v>0.1</v>
      </c>
      <c r="F129" s="19">
        <v>0.1</v>
      </c>
      <c r="G129" s="38">
        <f t="shared" si="15"/>
        <v>0.12</v>
      </c>
      <c r="H129" s="38">
        <f t="shared" si="16"/>
        <v>0.11</v>
      </c>
      <c r="I129" s="38">
        <f t="shared" si="17"/>
        <v>0.12</v>
      </c>
      <c r="J129" s="38">
        <f t="shared" si="18"/>
        <v>0.12</v>
      </c>
      <c r="K129" s="17" t="s">
        <v>288</v>
      </c>
      <c r="L129" s="6">
        <f t="shared" si="20"/>
        <v>8.3333333333333301E-2</v>
      </c>
      <c r="N129" s="18"/>
      <c r="O129" s="18"/>
    </row>
    <row r="130" spans="1:15" s="1" customFormat="1" x14ac:dyDescent="0.3">
      <c r="A130" s="11" t="s">
        <v>138</v>
      </c>
      <c r="B130" s="11" t="s">
        <v>138</v>
      </c>
      <c r="C130" s="16" t="s">
        <v>432</v>
      </c>
      <c r="D130" s="37" t="s">
        <v>139</v>
      </c>
      <c r="E130" s="19">
        <v>13.39</v>
      </c>
      <c r="F130" s="19">
        <v>13</v>
      </c>
      <c r="G130" s="38">
        <f t="shared" si="15"/>
        <v>15.26</v>
      </c>
      <c r="H130" s="38">
        <f t="shared" si="16"/>
        <v>14.3</v>
      </c>
      <c r="I130" s="38">
        <f t="shared" si="17"/>
        <v>15.95</v>
      </c>
      <c r="J130" s="38">
        <f t="shared" si="18"/>
        <v>14.95</v>
      </c>
      <c r="K130" s="17" t="s">
        <v>240</v>
      </c>
      <c r="L130" s="6">
        <f t="shared" si="20"/>
        <v>6.2909567496723398E-2</v>
      </c>
      <c r="N130" s="18"/>
      <c r="O130" s="18"/>
    </row>
    <row r="131" spans="1:15" s="1" customFormat="1" x14ac:dyDescent="0.3">
      <c r="A131" s="11" t="s">
        <v>140</v>
      </c>
      <c r="B131" s="11" t="s">
        <v>140</v>
      </c>
      <c r="C131" s="16" t="s">
        <v>433</v>
      </c>
      <c r="D131" s="37" t="s">
        <v>139</v>
      </c>
      <c r="E131" s="19">
        <v>17.510000000000002</v>
      </c>
      <c r="F131" s="19">
        <v>17</v>
      </c>
      <c r="G131" s="38">
        <f t="shared" si="15"/>
        <v>19.950000000000003</v>
      </c>
      <c r="H131" s="38">
        <f t="shared" si="16"/>
        <v>18.7</v>
      </c>
      <c r="I131" s="38">
        <f t="shared" si="17"/>
        <v>20.860000000000003</v>
      </c>
      <c r="J131" s="38">
        <f t="shared" si="18"/>
        <v>19.55</v>
      </c>
      <c r="K131" s="17" t="s">
        <v>240</v>
      </c>
      <c r="L131" s="6">
        <f t="shared" si="20"/>
        <v>6.2656641604010188E-2</v>
      </c>
      <c r="N131" s="18"/>
      <c r="O131" s="18"/>
    </row>
    <row r="132" spans="1:15" s="1" customFormat="1" x14ac:dyDescent="0.3">
      <c r="A132" s="11" t="s">
        <v>141</v>
      </c>
      <c r="B132" s="11" t="s">
        <v>141</v>
      </c>
      <c r="C132" s="16" t="s">
        <v>434</v>
      </c>
      <c r="D132" s="37" t="s">
        <v>139</v>
      </c>
      <c r="E132" s="19">
        <v>19.57</v>
      </c>
      <c r="F132" s="19">
        <v>19</v>
      </c>
      <c r="G132" s="38">
        <f t="shared" si="15"/>
        <v>22.3</v>
      </c>
      <c r="H132" s="38">
        <f t="shared" si="16"/>
        <v>20.9</v>
      </c>
      <c r="I132" s="38">
        <f t="shared" si="17"/>
        <v>23.310000000000002</v>
      </c>
      <c r="J132" s="38">
        <f t="shared" si="18"/>
        <v>21.85</v>
      </c>
      <c r="K132" s="17" t="s">
        <v>240</v>
      </c>
      <c r="L132" s="6">
        <f t="shared" si="20"/>
        <v>6.2780269058296062E-2</v>
      </c>
      <c r="N132" s="18"/>
      <c r="O132" s="18"/>
    </row>
    <row r="133" spans="1:15" s="1" customFormat="1" x14ac:dyDescent="0.3">
      <c r="A133" s="11" t="s">
        <v>142</v>
      </c>
      <c r="B133" s="11" t="s">
        <v>142</v>
      </c>
      <c r="C133" s="16" t="s">
        <v>435</v>
      </c>
      <c r="D133" s="37" t="s">
        <v>139</v>
      </c>
      <c r="E133" s="19">
        <v>24.72</v>
      </c>
      <c r="F133" s="19">
        <v>24</v>
      </c>
      <c r="G133" s="38">
        <f t="shared" si="15"/>
        <v>28.17</v>
      </c>
      <c r="H133" s="38">
        <f t="shared" si="16"/>
        <v>26.4</v>
      </c>
      <c r="I133" s="38">
        <f t="shared" si="17"/>
        <v>29.450000000000003</v>
      </c>
      <c r="J133" s="38">
        <f t="shared" si="18"/>
        <v>27.6</v>
      </c>
      <c r="K133" s="17" t="s">
        <v>240</v>
      </c>
      <c r="L133" s="6">
        <f t="shared" si="20"/>
        <v>6.2832800851970294E-2</v>
      </c>
      <c r="N133" s="18"/>
      <c r="O133" s="18"/>
    </row>
    <row r="134" spans="1:15" s="1" customFormat="1" x14ac:dyDescent="0.3">
      <c r="A134" s="11" t="s">
        <v>143</v>
      </c>
      <c r="B134" s="11" t="s">
        <v>143</v>
      </c>
      <c r="C134" s="16" t="s">
        <v>436</v>
      </c>
      <c r="D134" s="37" t="s">
        <v>139</v>
      </c>
      <c r="E134" s="19">
        <v>26.78</v>
      </c>
      <c r="F134" s="19">
        <v>26</v>
      </c>
      <c r="G134" s="38">
        <f t="shared" si="15"/>
        <v>30.520000000000003</v>
      </c>
      <c r="H134" s="38">
        <f t="shared" si="16"/>
        <v>28.6</v>
      </c>
      <c r="I134" s="38">
        <f t="shared" si="17"/>
        <v>31.900000000000002</v>
      </c>
      <c r="J134" s="38">
        <f t="shared" si="18"/>
        <v>29.9</v>
      </c>
      <c r="K134" s="17" t="s">
        <v>240</v>
      </c>
      <c r="L134" s="6">
        <f t="shared" si="20"/>
        <v>6.2909567496723509E-2</v>
      </c>
      <c r="N134" s="18"/>
      <c r="O134" s="18"/>
    </row>
    <row r="135" spans="1:15" s="1" customFormat="1" x14ac:dyDescent="0.3">
      <c r="A135" s="11" t="s">
        <v>144</v>
      </c>
      <c r="B135" s="11" t="s">
        <v>144</v>
      </c>
      <c r="C135" s="16" t="s">
        <v>437</v>
      </c>
      <c r="D135" s="37" t="s">
        <v>139</v>
      </c>
      <c r="E135" s="19">
        <v>33.99</v>
      </c>
      <c r="F135" s="19">
        <v>33</v>
      </c>
      <c r="G135" s="38">
        <f t="shared" si="15"/>
        <v>38.729999999999997</v>
      </c>
      <c r="H135" s="38">
        <f t="shared" si="16"/>
        <v>36.299999999999997</v>
      </c>
      <c r="I135" s="38">
        <f t="shared" si="17"/>
        <v>40.489999999999995</v>
      </c>
      <c r="J135" s="38">
        <f t="shared" si="18"/>
        <v>37.950000000000003</v>
      </c>
      <c r="K135" s="17" t="s">
        <v>240</v>
      </c>
      <c r="L135" s="6">
        <f t="shared" si="20"/>
        <v>6.2742060418280399E-2</v>
      </c>
      <c r="N135" s="18"/>
      <c r="O135" s="18"/>
    </row>
    <row r="136" spans="1:15" s="1" customFormat="1" x14ac:dyDescent="0.3">
      <c r="A136" s="11" t="s">
        <v>145</v>
      </c>
      <c r="B136" s="11" t="s">
        <v>145</v>
      </c>
      <c r="C136" s="16" t="s">
        <v>438</v>
      </c>
      <c r="D136" s="37" t="s">
        <v>139</v>
      </c>
      <c r="E136" s="19">
        <v>38.11</v>
      </c>
      <c r="F136" s="19">
        <v>37</v>
      </c>
      <c r="G136" s="38">
        <f t="shared" si="15"/>
        <v>43.419999999999995</v>
      </c>
      <c r="H136" s="38">
        <f t="shared" si="16"/>
        <v>40.700000000000003</v>
      </c>
      <c r="I136" s="38">
        <f t="shared" si="17"/>
        <v>45.4</v>
      </c>
      <c r="J136" s="38">
        <f t="shared" si="18"/>
        <v>42.55</v>
      </c>
      <c r="K136" s="17" t="s">
        <v>240</v>
      </c>
      <c r="L136" s="6">
        <f t="shared" si="20"/>
        <v>6.2643942883463657E-2</v>
      </c>
      <c r="N136" s="18"/>
      <c r="O136" s="18"/>
    </row>
    <row r="137" spans="1:15" s="1" customFormat="1" x14ac:dyDescent="0.3">
      <c r="A137" s="11" t="s">
        <v>146</v>
      </c>
      <c r="B137" s="11" t="s">
        <v>146</v>
      </c>
      <c r="C137" s="16" t="s">
        <v>439</v>
      </c>
      <c r="D137" s="37" t="s">
        <v>139</v>
      </c>
      <c r="E137" s="19">
        <v>46.35</v>
      </c>
      <c r="F137" s="19">
        <v>45</v>
      </c>
      <c r="G137" s="38">
        <f t="shared" si="15"/>
        <v>52.809999999999995</v>
      </c>
      <c r="H137" s="38">
        <f t="shared" si="16"/>
        <v>49.5</v>
      </c>
      <c r="I137" s="38">
        <f t="shared" si="17"/>
        <v>55.21</v>
      </c>
      <c r="J137" s="38">
        <f t="shared" si="18"/>
        <v>51.75</v>
      </c>
      <c r="K137" s="17" t="s">
        <v>240</v>
      </c>
      <c r="L137" s="6">
        <f t="shared" si="20"/>
        <v>6.2677523196364243E-2</v>
      </c>
      <c r="N137" s="18"/>
      <c r="O137" s="18"/>
    </row>
    <row r="138" spans="1:15" s="1" customFormat="1" x14ac:dyDescent="0.3">
      <c r="A138" s="11" t="s">
        <v>147</v>
      </c>
      <c r="B138" s="11" t="s">
        <v>147</v>
      </c>
      <c r="C138" s="16" t="s">
        <v>440</v>
      </c>
      <c r="D138" s="37" t="s">
        <v>24</v>
      </c>
      <c r="E138" s="19">
        <v>1.8</v>
      </c>
      <c r="F138" s="19">
        <v>1.8</v>
      </c>
      <c r="G138" s="38">
        <f t="shared" si="15"/>
        <v>2.0599999999999996</v>
      </c>
      <c r="H138" s="38">
        <f t="shared" si="16"/>
        <v>1.98</v>
      </c>
      <c r="I138" s="38">
        <f t="shared" si="17"/>
        <v>2.15</v>
      </c>
      <c r="J138" s="38">
        <f t="shared" si="18"/>
        <v>2.0699999999999998</v>
      </c>
      <c r="K138" s="17" t="s">
        <v>288</v>
      </c>
      <c r="L138" s="6">
        <f t="shared" si="20"/>
        <v>3.8834951456310503E-2</v>
      </c>
      <c r="N138" s="18"/>
      <c r="O138" s="18"/>
    </row>
    <row r="139" spans="1:15" s="1" customFormat="1" x14ac:dyDescent="0.3">
      <c r="A139" s="11" t="s">
        <v>148</v>
      </c>
      <c r="B139" s="11" t="s">
        <v>148</v>
      </c>
      <c r="C139" s="16" t="s">
        <v>441</v>
      </c>
      <c r="D139" s="37" t="s">
        <v>24</v>
      </c>
      <c r="E139" s="19">
        <v>1.5</v>
      </c>
      <c r="F139" s="19">
        <v>1.5</v>
      </c>
      <c r="G139" s="38">
        <f t="shared" si="15"/>
        <v>1.71</v>
      </c>
      <c r="H139" s="38">
        <f t="shared" si="16"/>
        <v>1.65</v>
      </c>
      <c r="I139" s="38">
        <f t="shared" si="17"/>
        <v>1.79</v>
      </c>
      <c r="J139" s="38">
        <f t="shared" si="18"/>
        <v>1.73</v>
      </c>
      <c r="K139" s="17" t="s">
        <v>288</v>
      </c>
      <c r="L139" s="6">
        <f t="shared" si="20"/>
        <v>3.5087719298245647E-2</v>
      </c>
      <c r="N139" s="18"/>
      <c r="O139" s="18"/>
    </row>
    <row r="140" spans="1:15" s="1" customFormat="1" x14ac:dyDescent="0.3">
      <c r="A140" s="11" t="s">
        <v>149</v>
      </c>
      <c r="B140" s="11" t="s">
        <v>149</v>
      </c>
      <c r="C140" s="16" t="s">
        <v>442</v>
      </c>
      <c r="D140" s="37" t="s">
        <v>24</v>
      </c>
      <c r="E140" s="19">
        <v>2.5</v>
      </c>
      <c r="F140" s="19">
        <v>2.5</v>
      </c>
      <c r="G140" s="38">
        <f t="shared" si="15"/>
        <v>2.8499999999999996</v>
      </c>
      <c r="H140" s="38">
        <f t="shared" si="16"/>
        <v>2.75</v>
      </c>
      <c r="I140" s="38">
        <f t="shared" si="17"/>
        <v>2.98</v>
      </c>
      <c r="J140" s="38">
        <f t="shared" si="18"/>
        <v>2.88</v>
      </c>
      <c r="K140" s="17" t="s">
        <v>288</v>
      </c>
      <c r="L140" s="6">
        <f t="shared" si="20"/>
        <v>3.5087719298245494E-2</v>
      </c>
      <c r="N140" s="18"/>
      <c r="O140" s="18"/>
    </row>
    <row r="141" spans="1:15" s="1" customFormat="1" x14ac:dyDescent="0.3">
      <c r="A141" s="11" t="s">
        <v>150</v>
      </c>
      <c r="B141" s="11" t="s">
        <v>150</v>
      </c>
      <c r="C141" s="16" t="s">
        <v>443</v>
      </c>
      <c r="D141" s="37" t="s">
        <v>139</v>
      </c>
      <c r="E141" s="19">
        <v>9.8000000000000007</v>
      </c>
      <c r="F141" s="19">
        <v>9.8000000000000007</v>
      </c>
      <c r="G141" s="38">
        <f t="shared" si="15"/>
        <v>11.17</v>
      </c>
      <c r="H141" s="38">
        <f t="shared" si="16"/>
        <v>10.78</v>
      </c>
      <c r="I141" s="38">
        <f t="shared" si="17"/>
        <v>11.68</v>
      </c>
      <c r="J141" s="38">
        <f t="shared" si="18"/>
        <v>11.27</v>
      </c>
      <c r="K141" s="17" t="s">
        <v>288</v>
      </c>
      <c r="L141" s="6">
        <f t="shared" si="20"/>
        <v>3.4914950760966929E-2</v>
      </c>
      <c r="N141" s="18"/>
      <c r="O141" s="18"/>
    </row>
    <row r="142" spans="1:15" s="1" customFormat="1" x14ac:dyDescent="0.3">
      <c r="A142" s="11" t="s">
        <v>151</v>
      </c>
      <c r="B142" s="11" t="s">
        <v>151</v>
      </c>
      <c r="C142" s="16" t="s">
        <v>444</v>
      </c>
      <c r="D142" s="37" t="s">
        <v>139</v>
      </c>
      <c r="E142" s="19">
        <v>15.05</v>
      </c>
      <c r="F142" s="19">
        <v>15.05</v>
      </c>
      <c r="G142" s="38">
        <f t="shared" si="15"/>
        <v>17.150000000000002</v>
      </c>
      <c r="H142" s="38">
        <f t="shared" si="16"/>
        <v>16.560000000000002</v>
      </c>
      <c r="I142" s="38">
        <f t="shared" si="17"/>
        <v>17.930000000000003</v>
      </c>
      <c r="J142" s="38">
        <f t="shared" si="18"/>
        <v>17.310000000000002</v>
      </c>
      <c r="K142" s="17" t="s">
        <v>288</v>
      </c>
      <c r="L142" s="6">
        <f t="shared" si="20"/>
        <v>3.4402332361516019E-2</v>
      </c>
      <c r="N142" s="18"/>
      <c r="O142" s="18"/>
    </row>
    <row r="143" spans="1:15" s="1" customFormat="1" x14ac:dyDescent="0.3">
      <c r="A143" s="11" t="s">
        <v>152</v>
      </c>
      <c r="B143" s="11" t="s">
        <v>152</v>
      </c>
      <c r="C143" s="16" t="s">
        <v>445</v>
      </c>
      <c r="D143" s="37" t="s">
        <v>139</v>
      </c>
      <c r="E143" s="19">
        <v>18.5</v>
      </c>
      <c r="F143" s="19">
        <v>18.5</v>
      </c>
      <c r="G143" s="38">
        <f t="shared" si="15"/>
        <v>21.080000000000002</v>
      </c>
      <c r="H143" s="38">
        <f t="shared" si="16"/>
        <v>20.350000000000001</v>
      </c>
      <c r="I143" s="38">
        <f t="shared" si="17"/>
        <v>22.040000000000003</v>
      </c>
      <c r="J143" s="38">
        <f t="shared" si="18"/>
        <v>21.28</v>
      </c>
      <c r="K143" s="17" t="s">
        <v>288</v>
      </c>
      <c r="L143" s="6">
        <f t="shared" si="20"/>
        <v>3.4629981024667945E-2</v>
      </c>
      <c r="N143" s="18"/>
      <c r="O143" s="18"/>
    </row>
    <row r="144" spans="1:15" s="1" customFormat="1" x14ac:dyDescent="0.3">
      <c r="A144" s="11" t="s">
        <v>153</v>
      </c>
      <c r="B144" s="11" t="s">
        <v>153</v>
      </c>
      <c r="C144" s="16" t="s">
        <v>446</v>
      </c>
      <c r="D144" s="37" t="s">
        <v>139</v>
      </c>
      <c r="E144" s="19">
        <v>22.14</v>
      </c>
      <c r="F144" s="19">
        <v>22.14</v>
      </c>
      <c r="G144" s="38">
        <f t="shared" si="15"/>
        <v>25.23</v>
      </c>
      <c r="H144" s="38">
        <f t="shared" si="16"/>
        <v>24.360000000000003</v>
      </c>
      <c r="I144" s="38">
        <f t="shared" si="17"/>
        <v>26.380000000000003</v>
      </c>
      <c r="J144" s="38">
        <f t="shared" si="18"/>
        <v>25.470000000000002</v>
      </c>
      <c r="K144" s="17" t="s">
        <v>288</v>
      </c>
      <c r="L144" s="6">
        <f t="shared" si="20"/>
        <v>3.4482758620689551E-2</v>
      </c>
      <c r="N144" s="18"/>
      <c r="O144" s="18"/>
    </row>
    <row r="145" spans="1:15" s="1" customFormat="1" x14ac:dyDescent="0.3">
      <c r="A145" s="11" t="s">
        <v>154</v>
      </c>
      <c r="B145" s="11" t="s">
        <v>154</v>
      </c>
      <c r="C145" s="16" t="s">
        <v>447</v>
      </c>
      <c r="D145" s="37" t="s">
        <v>139</v>
      </c>
      <c r="E145" s="19">
        <v>27.42</v>
      </c>
      <c r="F145" s="19">
        <v>27.42</v>
      </c>
      <c r="G145" s="38">
        <f t="shared" si="15"/>
        <v>31.240000000000002</v>
      </c>
      <c r="H145" s="38">
        <f t="shared" si="16"/>
        <v>30.17</v>
      </c>
      <c r="I145" s="38">
        <f t="shared" si="17"/>
        <v>32.659999999999997</v>
      </c>
      <c r="J145" s="38">
        <f t="shared" si="18"/>
        <v>31.540000000000003</v>
      </c>
      <c r="K145" s="17" t="s">
        <v>288</v>
      </c>
      <c r="L145" s="6">
        <f t="shared" si="20"/>
        <v>3.4250960307298343E-2</v>
      </c>
      <c r="N145" s="18"/>
      <c r="O145" s="18"/>
    </row>
    <row r="146" spans="1:15" s="1" customFormat="1" x14ac:dyDescent="0.3">
      <c r="A146" s="11" t="s">
        <v>155</v>
      </c>
      <c r="B146" s="11" t="s">
        <v>155</v>
      </c>
      <c r="C146" s="16" t="s">
        <v>448</v>
      </c>
      <c r="D146" s="37" t="s">
        <v>139</v>
      </c>
      <c r="E146" s="19">
        <v>39.58</v>
      </c>
      <c r="F146" s="19">
        <v>39.58</v>
      </c>
      <c r="G146" s="38">
        <f t="shared" si="15"/>
        <v>45.1</v>
      </c>
      <c r="H146" s="38">
        <f t="shared" si="16"/>
        <v>43.54</v>
      </c>
      <c r="I146" s="38">
        <f t="shared" si="17"/>
        <v>47.15</v>
      </c>
      <c r="J146" s="38">
        <f t="shared" si="18"/>
        <v>45.519999999999996</v>
      </c>
      <c r="K146" s="17" t="s">
        <v>288</v>
      </c>
      <c r="L146" s="6">
        <f t="shared" si="20"/>
        <v>3.458980044345903E-2</v>
      </c>
      <c r="N146" s="18"/>
      <c r="O146" s="18"/>
    </row>
    <row r="147" spans="1:15" s="1" customFormat="1" x14ac:dyDescent="0.3">
      <c r="A147" s="11" t="s">
        <v>156</v>
      </c>
      <c r="B147" s="11" t="s">
        <v>156</v>
      </c>
      <c r="C147" s="16" t="s">
        <v>449</v>
      </c>
      <c r="D147" s="37" t="s">
        <v>24</v>
      </c>
      <c r="E147" s="19">
        <v>3.04</v>
      </c>
      <c r="F147" s="19">
        <v>3.04</v>
      </c>
      <c r="G147" s="38">
        <f t="shared" si="15"/>
        <v>3.4699999999999998</v>
      </c>
      <c r="H147" s="38">
        <f t="shared" si="16"/>
        <v>3.3499999999999996</v>
      </c>
      <c r="I147" s="38">
        <f t="shared" si="17"/>
        <v>3.63</v>
      </c>
      <c r="J147" s="38">
        <f t="shared" si="18"/>
        <v>3.5</v>
      </c>
      <c r="K147" s="17" t="s">
        <v>288</v>
      </c>
      <c r="L147" s="6">
        <f t="shared" si="20"/>
        <v>3.4582132564841529E-2</v>
      </c>
      <c r="N147" s="18"/>
      <c r="O147" s="18"/>
    </row>
    <row r="148" spans="1:15" s="1" customFormat="1" x14ac:dyDescent="0.3">
      <c r="A148" s="11" t="s">
        <v>157</v>
      </c>
      <c r="B148" s="11" t="s">
        <v>157</v>
      </c>
      <c r="C148" s="16" t="s">
        <v>450</v>
      </c>
      <c r="D148" s="37" t="s">
        <v>24</v>
      </c>
      <c r="E148" s="19">
        <v>21.2</v>
      </c>
      <c r="F148" s="19">
        <v>20</v>
      </c>
      <c r="G148" s="38">
        <f t="shared" si="15"/>
        <v>24.16</v>
      </c>
      <c r="H148" s="38">
        <f t="shared" si="16"/>
        <v>22</v>
      </c>
      <c r="I148" s="38">
        <f t="shared" si="17"/>
        <v>25.26</v>
      </c>
      <c r="J148" s="38">
        <f t="shared" si="18"/>
        <v>23</v>
      </c>
      <c r="K148" s="17" t="s">
        <v>240</v>
      </c>
      <c r="L148" s="6">
        <f t="shared" si="20"/>
        <v>8.9403973509933773E-2</v>
      </c>
      <c r="N148" s="18"/>
      <c r="O148" s="18"/>
    </row>
    <row r="149" spans="1:15" s="1" customFormat="1" x14ac:dyDescent="0.3">
      <c r="A149" s="11" t="s">
        <v>158</v>
      </c>
      <c r="B149" s="11" t="s">
        <v>158</v>
      </c>
      <c r="C149" s="16" t="s">
        <v>451</v>
      </c>
      <c r="D149" s="37" t="s">
        <v>31</v>
      </c>
      <c r="E149" s="19">
        <v>12.72</v>
      </c>
      <c r="F149" s="19">
        <v>10</v>
      </c>
      <c r="G149" s="38">
        <f t="shared" si="15"/>
        <v>14.5</v>
      </c>
      <c r="H149" s="38">
        <f t="shared" si="16"/>
        <v>11</v>
      </c>
      <c r="I149" s="38">
        <f t="shared" si="17"/>
        <v>15.16</v>
      </c>
      <c r="J149" s="38">
        <f t="shared" si="18"/>
        <v>11.5</v>
      </c>
      <c r="K149" s="17" t="s">
        <v>289</v>
      </c>
      <c r="L149" s="6">
        <f t="shared" si="20"/>
        <v>0.2413793103448276</v>
      </c>
      <c r="N149" s="18"/>
      <c r="O149" s="18"/>
    </row>
    <row r="150" spans="1:15" s="1" customFormat="1" x14ac:dyDescent="0.3">
      <c r="A150" s="11" t="s">
        <v>159</v>
      </c>
      <c r="B150" s="11" t="s">
        <v>159</v>
      </c>
      <c r="C150" s="16" t="s">
        <v>452</v>
      </c>
      <c r="D150" s="37" t="s">
        <v>31</v>
      </c>
      <c r="E150" s="19">
        <v>12.72</v>
      </c>
      <c r="F150" s="19">
        <v>12</v>
      </c>
      <c r="G150" s="38">
        <f t="shared" si="15"/>
        <v>14.5</v>
      </c>
      <c r="H150" s="38">
        <f t="shared" si="16"/>
        <v>13.2</v>
      </c>
      <c r="I150" s="38">
        <f t="shared" si="17"/>
        <v>15.16</v>
      </c>
      <c r="J150" s="38">
        <f t="shared" si="18"/>
        <v>13.8</v>
      </c>
      <c r="K150" s="17" t="s">
        <v>290</v>
      </c>
      <c r="L150" s="6">
        <f t="shared" si="20"/>
        <v>8.9655172413793158E-2</v>
      </c>
      <c r="N150" s="18"/>
      <c r="O150" s="18"/>
    </row>
    <row r="151" spans="1:15" s="1" customFormat="1" x14ac:dyDescent="0.3">
      <c r="A151" s="11" t="s">
        <v>160</v>
      </c>
      <c r="B151" s="11" t="s">
        <v>160</v>
      </c>
      <c r="C151" s="16" t="s">
        <v>453</v>
      </c>
      <c r="D151" s="37" t="s">
        <v>31</v>
      </c>
      <c r="E151" s="19">
        <v>12.72</v>
      </c>
      <c r="F151" s="19">
        <v>12</v>
      </c>
      <c r="G151" s="38">
        <f t="shared" si="15"/>
        <v>14.5</v>
      </c>
      <c r="H151" s="38">
        <f t="shared" si="16"/>
        <v>13.2</v>
      </c>
      <c r="I151" s="38">
        <f t="shared" si="17"/>
        <v>15.16</v>
      </c>
      <c r="J151" s="38">
        <f t="shared" si="18"/>
        <v>13.8</v>
      </c>
      <c r="K151" s="17" t="s">
        <v>291</v>
      </c>
      <c r="L151" s="6">
        <f t="shared" si="20"/>
        <v>8.9655172413793158E-2</v>
      </c>
      <c r="N151" s="18"/>
      <c r="O151" s="18"/>
    </row>
    <row r="152" spans="1:15" s="1" customFormat="1" x14ac:dyDescent="0.3">
      <c r="A152" s="11" t="s">
        <v>161</v>
      </c>
      <c r="B152" s="11" t="s">
        <v>161</v>
      </c>
      <c r="C152" s="16" t="s">
        <v>454</v>
      </c>
      <c r="D152" s="37" t="s">
        <v>31</v>
      </c>
      <c r="E152" s="19">
        <v>12.72</v>
      </c>
      <c r="F152" s="19">
        <v>10</v>
      </c>
      <c r="G152" s="38">
        <f t="shared" si="15"/>
        <v>14.5</v>
      </c>
      <c r="H152" s="38">
        <f t="shared" si="16"/>
        <v>11</v>
      </c>
      <c r="I152" s="38">
        <f t="shared" si="17"/>
        <v>15.16</v>
      </c>
      <c r="J152" s="38">
        <f t="shared" si="18"/>
        <v>11.5</v>
      </c>
      <c r="K152" s="17" t="s">
        <v>289</v>
      </c>
      <c r="L152" s="6">
        <f t="shared" si="20"/>
        <v>0.2413793103448276</v>
      </c>
      <c r="N152" s="18"/>
      <c r="O152" s="18"/>
    </row>
    <row r="153" spans="1:15" s="1" customFormat="1" x14ac:dyDescent="0.3">
      <c r="A153" s="11" t="s">
        <v>162</v>
      </c>
      <c r="B153" s="11" t="s">
        <v>162</v>
      </c>
      <c r="C153" s="16" t="s">
        <v>455</v>
      </c>
      <c r="D153" s="37" t="s">
        <v>31</v>
      </c>
      <c r="E153" s="19">
        <v>6.36</v>
      </c>
      <c r="F153" s="19">
        <v>6</v>
      </c>
      <c r="G153" s="38">
        <f t="shared" si="15"/>
        <v>7.25</v>
      </c>
      <c r="H153" s="38">
        <f t="shared" si="16"/>
        <v>6.6</v>
      </c>
      <c r="I153" s="38">
        <f t="shared" si="17"/>
        <v>7.58</v>
      </c>
      <c r="J153" s="38">
        <f t="shared" si="18"/>
        <v>6.9</v>
      </c>
      <c r="K153" s="17" t="s">
        <v>292</v>
      </c>
      <c r="L153" s="6">
        <f t="shared" si="20"/>
        <v>8.9655172413793158E-2</v>
      </c>
      <c r="N153" s="18"/>
      <c r="O153" s="18"/>
    </row>
    <row r="154" spans="1:15" s="1" customFormat="1" x14ac:dyDescent="0.3">
      <c r="A154" s="11" t="s">
        <v>163</v>
      </c>
      <c r="B154" s="11" t="s">
        <v>163</v>
      </c>
      <c r="C154" s="16" t="s">
        <v>456</v>
      </c>
      <c r="D154" s="37" t="s">
        <v>31</v>
      </c>
      <c r="E154" s="19">
        <v>6.36</v>
      </c>
      <c r="F154" s="19">
        <v>6</v>
      </c>
      <c r="G154" s="38">
        <f t="shared" si="15"/>
        <v>7.25</v>
      </c>
      <c r="H154" s="38">
        <f t="shared" si="16"/>
        <v>6.6</v>
      </c>
      <c r="I154" s="38">
        <f t="shared" si="17"/>
        <v>7.58</v>
      </c>
      <c r="J154" s="38">
        <f t="shared" si="18"/>
        <v>6.9</v>
      </c>
      <c r="K154" s="17" t="s">
        <v>292</v>
      </c>
      <c r="L154" s="6">
        <f t="shared" si="20"/>
        <v>8.9655172413793158E-2</v>
      </c>
      <c r="N154" s="18"/>
      <c r="O154" s="18"/>
    </row>
    <row r="155" spans="1:15" s="1" customFormat="1" x14ac:dyDescent="0.3">
      <c r="A155" s="11" t="s">
        <v>164</v>
      </c>
      <c r="B155" s="11" t="s">
        <v>164</v>
      </c>
      <c r="C155" s="16" t="s">
        <v>457</v>
      </c>
      <c r="D155" s="37" t="s">
        <v>24</v>
      </c>
      <c r="E155" s="19">
        <v>4</v>
      </c>
      <c r="F155" s="19">
        <v>4</v>
      </c>
      <c r="G155" s="38">
        <f t="shared" si="15"/>
        <v>4.5599999999999996</v>
      </c>
      <c r="H155" s="38">
        <f t="shared" si="16"/>
        <v>4.4000000000000004</v>
      </c>
      <c r="I155" s="38">
        <f t="shared" si="17"/>
        <v>4.7699999999999996</v>
      </c>
      <c r="J155" s="38">
        <f t="shared" si="18"/>
        <v>4.5999999999999996</v>
      </c>
      <c r="K155" s="17" t="s">
        <v>293</v>
      </c>
      <c r="L155" s="6">
        <f t="shared" si="20"/>
        <v>3.5087719298245452E-2</v>
      </c>
      <c r="N155" s="18"/>
      <c r="O155" s="18"/>
    </row>
    <row r="156" spans="1:15" s="1" customFormat="1" x14ac:dyDescent="0.3">
      <c r="A156" s="11" t="s">
        <v>165</v>
      </c>
      <c r="B156" s="11" t="s">
        <v>165</v>
      </c>
      <c r="C156" s="16" t="s">
        <v>458</v>
      </c>
      <c r="D156" s="37" t="s">
        <v>31</v>
      </c>
      <c r="E156" s="19">
        <v>3.2</v>
      </c>
      <c r="F156" s="19">
        <v>2.86</v>
      </c>
      <c r="G156" s="38">
        <f t="shared" si="15"/>
        <v>3.65</v>
      </c>
      <c r="H156" s="38">
        <f t="shared" si="16"/>
        <v>3.15</v>
      </c>
      <c r="I156" s="38">
        <f t="shared" si="17"/>
        <v>3.82</v>
      </c>
      <c r="J156" s="38">
        <f t="shared" si="18"/>
        <v>3.2899999999999996</v>
      </c>
      <c r="K156" s="17" t="s">
        <v>294</v>
      </c>
      <c r="L156" s="6">
        <f t="shared" si="20"/>
        <v>0.13698630136986301</v>
      </c>
      <c r="N156" s="18"/>
      <c r="O156" s="18"/>
    </row>
    <row r="157" spans="1:15" s="1" customFormat="1" x14ac:dyDescent="0.3">
      <c r="A157" s="11" t="s">
        <v>166</v>
      </c>
      <c r="B157" s="11" t="s">
        <v>166</v>
      </c>
      <c r="C157" s="16" t="s">
        <v>459</v>
      </c>
      <c r="D157" s="37" t="s">
        <v>15</v>
      </c>
      <c r="E157" s="19">
        <v>3</v>
      </c>
      <c r="F157" s="19">
        <v>3</v>
      </c>
      <c r="G157" s="38">
        <f t="shared" si="15"/>
        <v>3.42</v>
      </c>
      <c r="H157" s="38">
        <f t="shared" si="16"/>
        <v>3.3</v>
      </c>
      <c r="I157" s="38">
        <f t="shared" si="17"/>
        <v>3.5799999999999996</v>
      </c>
      <c r="J157" s="38">
        <f t="shared" si="18"/>
        <v>3.45</v>
      </c>
      <c r="K157" s="17" t="s">
        <v>295</v>
      </c>
      <c r="L157" s="6">
        <f t="shared" si="20"/>
        <v>3.5087719298245647E-2</v>
      </c>
      <c r="N157" s="18"/>
      <c r="O157" s="18"/>
    </row>
    <row r="158" spans="1:15" s="1" customFormat="1" x14ac:dyDescent="0.3">
      <c r="A158" s="11" t="s">
        <v>167</v>
      </c>
      <c r="B158" s="11" t="s">
        <v>167</v>
      </c>
      <c r="C158" s="16" t="s">
        <v>460</v>
      </c>
      <c r="D158" s="37" t="s">
        <v>24</v>
      </c>
      <c r="E158" s="19">
        <v>0.15</v>
      </c>
      <c r="F158" s="19">
        <v>0.15</v>
      </c>
      <c r="G158" s="38">
        <f t="shared" si="15"/>
        <v>0.18000000000000002</v>
      </c>
      <c r="H158" s="38">
        <f t="shared" si="16"/>
        <v>0.17</v>
      </c>
      <c r="I158" s="38">
        <f t="shared" si="17"/>
        <v>0.18000000000000002</v>
      </c>
      <c r="J158" s="38">
        <f t="shared" si="18"/>
        <v>0.18000000000000002</v>
      </c>
      <c r="K158" s="17" t="s">
        <v>288</v>
      </c>
      <c r="L158" s="6">
        <f t="shared" si="20"/>
        <v>5.5555555555555601E-2</v>
      </c>
      <c r="N158" s="18"/>
      <c r="O158" s="18"/>
    </row>
    <row r="159" spans="1:15" s="1" customFormat="1" x14ac:dyDescent="0.3">
      <c r="A159" s="11" t="s">
        <v>168</v>
      </c>
      <c r="B159" s="11" t="s">
        <v>168</v>
      </c>
      <c r="C159" s="16" t="s">
        <v>461</v>
      </c>
      <c r="D159" s="37" t="s">
        <v>31</v>
      </c>
      <c r="E159" s="19">
        <v>10.799999999999999</v>
      </c>
      <c r="F159" s="19">
        <v>9.7200000000000006</v>
      </c>
      <c r="G159" s="38">
        <f t="shared" si="15"/>
        <v>12.31</v>
      </c>
      <c r="H159" s="38">
        <f t="shared" si="16"/>
        <v>10.7</v>
      </c>
      <c r="I159" s="38">
        <f t="shared" si="17"/>
        <v>12.87</v>
      </c>
      <c r="J159" s="38">
        <f t="shared" si="18"/>
        <v>11.18</v>
      </c>
      <c r="K159" s="17" t="s">
        <v>296</v>
      </c>
      <c r="L159" s="6">
        <f t="shared" si="20"/>
        <v>0.13078797725426491</v>
      </c>
      <c r="N159" s="18"/>
      <c r="O159" s="18"/>
    </row>
    <row r="160" spans="1:15" s="1" customFormat="1" x14ac:dyDescent="0.3">
      <c r="A160" s="11" t="s">
        <v>169</v>
      </c>
      <c r="B160" s="11" t="s">
        <v>169</v>
      </c>
      <c r="C160" s="16" t="s">
        <v>462</v>
      </c>
      <c r="D160" s="37" t="s">
        <v>31</v>
      </c>
      <c r="E160" s="19">
        <v>12.959999999999999</v>
      </c>
      <c r="F160" s="19">
        <v>11.67</v>
      </c>
      <c r="G160" s="38">
        <f t="shared" ref="G160:G194" si="21">ROUNDUP(E160*0.87*1.1/0.84,2)</f>
        <v>14.77</v>
      </c>
      <c r="H160" s="38">
        <f t="shared" ref="H160:H194" si="22">ROUNDUP(F160*1.1,2)</f>
        <v>12.84</v>
      </c>
      <c r="I160" s="38">
        <f t="shared" ref="I160:I194" si="23">ROUNDUP(E160*0.87*1.15/0.84,2)</f>
        <v>15.44</v>
      </c>
      <c r="J160" s="38">
        <f t="shared" ref="J160:J194" si="24">ROUNDUP(F160*1.15,2)</f>
        <v>13.43</v>
      </c>
      <c r="K160" s="17" t="s">
        <v>297</v>
      </c>
      <c r="L160" s="6">
        <f t="shared" ref="L160:L194" si="25">(-H160+G160)/G160</f>
        <v>0.13067027758970887</v>
      </c>
      <c r="N160" s="18"/>
      <c r="O160" s="18"/>
    </row>
    <row r="161" spans="1:15" s="1" customFormat="1" x14ac:dyDescent="0.3">
      <c r="A161" s="11" t="s">
        <v>170</v>
      </c>
      <c r="B161" s="11" t="s">
        <v>170</v>
      </c>
      <c r="C161" s="16" t="s">
        <v>463</v>
      </c>
      <c r="D161" s="37" t="s">
        <v>15</v>
      </c>
      <c r="E161" s="19">
        <v>1.7</v>
      </c>
      <c r="F161" s="19">
        <v>1.7</v>
      </c>
      <c r="G161" s="38">
        <f t="shared" si="21"/>
        <v>1.94</v>
      </c>
      <c r="H161" s="38">
        <f t="shared" si="22"/>
        <v>1.87</v>
      </c>
      <c r="I161" s="38">
        <f t="shared" si="23"/>
        <v>2.0299999999999998</v>
      </c>
      <c r="J161" s="38">
        <f t="shared" si="24"/>
        <v>1.96</v>
      </c>
      <c r="K161" s="17" t="s">
        <v>233</v>
      </c>
      <c r="L161" s="6">
        <f t="shared" si="25"/>
        <v>3.6082474226804044E-2</v>
      </c>
      <c r="N161" s="18"/>
      <c r="O161" s="18"/>
    </row>
    <row r="162" spans="1:15" s="1" customFormat="1" x14ac:dyDescent="0.3">
      <c r="A162" s="11" t="s">
        <v>171</v>
      </c>
      <c r="B162" s="11" t="s">
        <v>171</v>
      </c>
      <c r="C162" s="16" t="s">
        <v>464</v>
      </c>
      <c r="D162" s="37" t="s">
        <v>172</v>
      </c>
      <c r="E162" s="19">
        <v>5.6</v>
      </c>
      <c r="F162" s="19">
        <v>5.6</v>
      </c>
      <c r="G162" s="38">
        <f t="shared" si="21"/>
        <v>6.38</v>
      </c>
      <c r="H162" s="38">
        <f t="shared" si="22"/>
        <v>6.16</v>
      </c>
      <c r="I162" s="38">
        <f t="shared" si="23"/>
        <v>6.67</v>
      </c>
      <c r="J162" s="38">
        <f t="shared" si="24"/>
        <v>6.44</v>
      </c>
      <c r="K162" s="17" t="s">
        <v>233</v>
      </c>
      <c r="L162" s="6">
        <f t="shared" si="25"/>
        <v>3.448275862068962E-2</v>
      </c>
      <c r="N162" s="18"/>
      <c r="O162" s="18"/>
    </row>
    <row r="163" spans="1:15" s="1" customFormat="1" x14ac:dyDescent="0.3">
      <c r="A163" s="11" t="s">
        <v>173</v>
      </c>
      <c r="B163" s="11" t="s">
        <v>173</v>
      </c>
      <c r="C163" s="16" t="s">
        <v>465</v>
      </c>
      <c r="D163" s="37" t="s">
        <v>24</v>
      </c>
      <c r="E163" s="19">
        <v>9.5399999999999991</v>
      </c>
      <c r="F163" s="19">
        <v>9</v>
      </c>
      <c r="G163" s="38">
        <f t="shared" si="21"/>
        <v>10.87</v>
      </c>
      <c r="H163" s="38">
        <f t="shared" si="22"/>
        <v>9.9</v>
      </c>
      <c r="I163" s="38">
        <f t="shared" si="23"/>
        <v>11.37</v>
      </c>
      <c r="J163" s="38">
        <f t="shared" si="24"/>
        <v>10.35</v>
      </c>
      <c r="K163" s="17" t="s">
        <v>298</v>
      </c>
      <c r="L163" s="6">
        <f t="shared" si="25"/>
        <v>8.9236430542778189E-2</v>
      </c>
      <c r="N163" s="18"/>
      <c r="O163" s="18"/>
    </row>
    <row r="164" spans="1:15" s="1" customFormat="1" x14ac:dyDescent="0.3">
      <c r="A164" s="11" t="s">
        <v>174</v>
      </c>
      <c r="B164" s="11" t="s">
        <v>174</v>
      </c>
      <c r="C164" s="16" t="s">
        <v>466</v>
      </c>
      <c r="D164" s="37" t="s">
        <v>24</v>
      </c>
      <c r="E164" s="19">
        <v>2</v>
      </c>
      <c r="F164" s="19">
        <v>1.8</v>
      </c>
      <c r="G164" s="38">
        <f t="shared" si="21"/>
        <v>2.2799999999999998</v>
      </c>
      <c r="H164" s="38">
        <f t="shared" si="22"/>
        <v>1.98</v>
      </c>
      <c r="I164" s="38">
        <f t="shared" si="23"/>
        <v>2.3899999999999997</v>
      </c>
      <c r="J164" s="38">
        <f t="shared" si="24"/>
        <v>2.0699999999999998</v>
      </c>
      <c r="K164" s="17" t="s">
        <v>273</v>
      </c>
      <c r="L164" s="6">
        <f t="shared" si="25"/>
        <v>0.13157894736842099</v>
      </c>
      <c r="N164" s="18"/>
      <c r="O164" s="18"/>
    </row>
    <row r="165" spans="1:15" s="1" customFormat="1" x14ac:dyDescent="0.3">
      <c r="A165" s="11" t="s">
        <v>175</v>
      </c>
      <c r="B165" s="11" t="s">
        <v>175</v>
      </c>
      <c r="C165" s="16" t="s">
        <v>467</v>
      </c>
      <c r="D165" s="37" t="s">
        <v>24</v>
      </c>
      <c r="E165" s="19">
        <v>12</v>
      </c>
      <c r="F165" s="19">
        <v>12</v>
      </c>
      <c r="G165" s="38">
        <f t="shared" si="21"/>
        <v>13.68</v>
      </c>
      <c r="H165" s="38">
        <f t="shared" si="22"/>
        <v>13.2</v>
      </c>
      <c r="I165" s="38">
        <f t="shared" si="23"/>
        <v>14.299999999999999</v>
      </c>
      <c r="J165" s="38">
        <f t="shared" si="24"/>
        <v>13.8</v>
      </c>
      <c r="K165" s="17" t="s">
        <v>273</v>
      </c>
      <c r="L165" s="6">
        <f t="shared" si="25"/>
        <v>3.5087719298245647E-2</v>
      </c>
      <c r="N165" s="18"/>
      <c r="O165" s="18"/>
    </row>
    <row r="166" spans="1:15" s="1" customFormat="1" x14ac:dyDescent="0.3">
      <c r="A166" s="11" t="s">
        <v>176</v>
      </c>
      <c r="B166" s="11" t="s">
        <v>176</v>
      </c>
      <c r="C166" s="25" t="s">
        <v>468</v>
      </c>
      <c r="D166" s="37" t="s">
        <v>24</v>
      </c>
      <c r="E166" s="19">
        <v>3</v>
      </c>
      <c r="F166" s="19">
        <v>3</v>
      </c>
      <c r="G166" s="38">
        <f t="shared" si="21"/>
        <v>3.42</v>
      </c>
      <c r="H166" s="38">
        <f t="shared" si="22"/>
        <v>3.3</v>
      </c>
      <c r="I166" s="38">
        <f t="shared" si="23"/>
        <v>3.5799999999999996</v>
      </c>
      <c r="J166" s="38">
        <f t="shared" si="24"/>
        <v>3.45</v>
      </c>
      <c r="K166" s="17" t="s">
        <v>273</v>
      </c>
      <c r="L166" s="6">
        <f t="shared" si="25"/>
        <v>3.5087719298245647E-2</v>
      </c>
      <c r="N166" s="18"/>
      <c r="O166" s="18"/>
    </row>
    <row r="167" spans="1:15" s="1" customFormat="1" x14ac:dyDescent="0.3">
      <c r="A167" s="11" t="s">
        <v>177</v>
      </c>
      <c r="B167" s="11" t="s">
        <v>177</v>
      </c>
      <c r="C167" s="25" t="s">
        <v>469</v>
      </c>
      <c r="D167" s="37" t="s">
        <v>24</v>
      </c>
      <c r="E167" s="19">
        <v>1</v>
      </c>
      <c r="F167" s="19">
        <v>1</v>
      </c>
      <c r="G167" s="38">
        <f t="shared" si="21"/>
        <v>1.1399999999999999</v>
      </c>
      <c r="H167" s="38">
        <f t="shared" si="22"/>
        <v>1.1000000000000001</v>
      </c>
      <c r="I167" s="38">
        <f t="shared" si="23"/>
        <v>1.2</v>
      </c>
      <c r="J167" s="38">
        <f t="shared" si="24"/>
        <v>1.1499999999999999</v>
      </c>
      <c r="K167" s="17" t="s">
        <v>273</v>
      </c>
      <c r="L167" s="6">
        <f t="shared" si="25"/>
        <v>3.5087719298245452E-2</v>
      </c>
      <c r="N167" s="18"/>
      <c r="O167" s="18"/>
    </row>
    <row r="168" spans="1:15" s="1" customFormat="1" x14ac:dyDescent="0.3">
      <c r="A168" s="11" t="s">
        <v>178</v>
      </c>
      <c r="B168" s="11" t="s">
        <v>178</v>
      </c>
      <c r="C168" s="25" t="s">
        <v>470</v>
      </c>
      <c r="D168" s="37" t="s">
        <v>31</v>
      </c>
      <c r="E168" s="19">
        <v>21.2</v>
      </c>
      <c r="F168" s="10">
        <v>20</v>
      </c>
      <c r="G168" s="38">
        <f t="shared" si="21"/>
        <v>24.16</v>
      </c>
      <c r="H168" s="38">
        <f t="shared" si="22"/>
        <v>22</v>
      </c>
      <c r="I168" s="38">
        <f t="shared" si="23"/>
        <v>25.26</v>
      </c>
      <c r="J168" s="38">
        <f t="shared" si="24"/>
        <v>23</v>
      </c>
      <c r="K168" s="17" t="s">
        <v>299</v>
      </c>
      <c r="L168" s="6">
        <f t="shared" si="25"/>
        <v>8.9403973509933773E-2</v>
      </c>
      <c r="N168" s="18"/>
      <c r="O168" s="18"/>
    </row>
    <row r="169" spans="1:15" s="1" customFormat="1" x14ac:dyDescent="0.3">
      <c r="A169" s="11" t="s">
        <v>179</v>
      </c>
      <c r="B169" s="11" t="s">
        <v>179</v>
      </c>
      <c r="C169" s="25" t="s">
        <v>471</v>
      </c>
      <c r="D169" s="37" t="s">
        <v>31</v>
      </c>
      <c r="E169" s="19">
        <v>31.8</v>
      </c>
      <c r="F169" s="10">
        <v>30</v>
      </c>
      <c r="G169" s="38">
        <f t="shared" si="21"/>
        <v>36.229999999999997</v>
      </c>
      <c r="H169" s="38">
        <f t="shared" si="22"/>
        <v>33</v>
      </c>
      <c r="I169" s="38">
        <f t="shared" si="23"/>
        <v>37.879999999999995</v>
      </c>
      <c r="J169" s="38">
        <f t="shared" si="24"/>
        <v>34.5</v>
      </c>
      <c r="K169" s="17" t="s">
        <v>300</v>
      </c>
      <c r="L169" s="6">
        <f t="shared" si="25"/>
        <v>8.9152635937068653E-2</v>
      </c>
      <c r="N169" s="18"/>
      <c r="O169" s="18"/>
    </row>
    <row r="170" spans="1:15" s="1" customFormat="1" x14ac:dyDescent="0.3">
      <c r="A170" s="11" t="s">
        <v>180</v>
      </c>
      <c r="B170" s="11" t="s">
        <v>180</v>
      </c>
      <c r="C170" s="25" t="s">
        <v>472</v>
      </c>
      <c r="D170" s="37" t="s">
        <v>31</v>
      </c>
      <c r="E170" s="19">
        <v>15.9</v>
      </c>
      <c r="F170" s="10">
        <v>15</v>
      </c>
      <c r="G170" s="38">
        <f t="shared" si="21"/>
        <v>18.12</v>
      </c>
      <c r="H170" s="38">
        <f t="shared" si="22"/>
        <v>16.5</v>
      </c>
      <c r="I170" s="38">
        <f t="shared" si="23"/>
        <v>18.940000000000001</v>
      </c>
      <c r="J170" s="38">
        <f t="shared" si="24"/>
        <v>17.25</v>
      </c>
      <c r="K170" s="17" t="s">
        <v>301</v>
      </c>
      <c r="L170" s="6">
        <f t="shared" si="25"/>
        <v>8.9403973509933829E-2</v>
      </c>
      <c r="N170" s="18"/>
      <c r="O170" s="18"/>
    </row>
    <row r="171" spans="1:15" s="1" customFormat="1" x14ac:dyDescent="0.3">
      <c r="A171" s="11" t="s">
        <v>181</v>
      </c>
      <c r="B171" s="11" t="s">
        <v>181</v>
      </c>
      <c r="C171" s="25" t="s">
        <v>473</v>
      </c>
      <c r="D171" s="37" t="s">
        <v>31</v>
      </c>
      <c r="E171" s="19">
        <v>21.2</v>
      </c>
      <c r="F171" s="10">
        <v>20</v>
      </c>
      <c r="G171" s="38">
        <f t="shared" si="21"/>
        <v>24.16</v>
      </c>
      <c r="H171" s="38">
        <f t="shared" si="22"/>
        <v>22</v>
      </c>
      <c r="I171" s="38">
        <f t="shared" si="23"/>
        <v>25.26</v>
      </c>
      <c r="J171" s="38">
        <f t="shared" si="24"/>
        <v>23</v>
      </c>
      <c r="K171" s="17" t="s">
        <v>302</v>
      </c>
      <c r="L171" s="6">
        <f t="shared" si="25"/>
        <v>8.9403973509933773E-2</v>
      </c>
      <c r="N171" s="18"/>
      <c r="O171" s="18"/>
    </row>
    <row r="172" spans="1:15" s="1" customFormat="1" x14ac:dyDescent="0.3">
      <c r="A172" s="11" t="s">
        <v>182</v>
      </c>
      <c r="B172" s="11" t="s">
        <v>182</v>
      </c>
      <c r="C172" s="25" t="s">
        <v>474</v>
      </c>
      <c r="D172" s="37" t="s">
        <v>31</v>
      </c>
      <c r="E172" s="19">
        <v>14.84</v>
      </c>
      <c r="F172" s="10">
        <v>14</v>
      </c>
      <c r="G172" s="38">
        <f t="shared" si="21"/>
        <v>16.91</v>
      </c>
      <c r="H172" s="38">
        <f t="shared" si="22"/>
        <v>15.4</v>
      </c>
      <c r="I172" s="38">
        <f t="shared" si="23"/>
        <v>17.680000000000003</v>
      </c>
      <c r="J172" s="38">
        <f t="shared" si="24"/>
        <v>16.100000000000001</v>
      </c>
      <c r="K172" s="17" t="s">
        <v>303</v>
      </c>
      <c r="L172" s="6">
        <f t="shared" si="25"/>
        <v>8.9296274393849781E-2</v>
      </c>
      <c r="N172" s="18"/>
      <c r="O172" s="18"/>
    </row>
    <row r="173" spans="1:15" s="26" customFormat="1" x14ac:dyDescent="0.3">
      <c r="A173" s="11" t="s">
        <v>183</v>
      </c>
      <c r="B173" s="11" t="s">
        <v>183</v>
      </c>
      <c r="C173" s="43" t="s">
        <v>475</v>
      </c>
      <c r="D173" s="37" t="s">
        <v>24</v>
      </c>
      <c r="E173" s="19">
        <v>7.42</v>
      </c>
      <c r="F173" s="10">
        <v>7</v>
      </c>
      <c r="G173" s="38">
        <f t="shared" si="21"/>
        <v>8.4599999999999991</v>
      </c>
      <c r="H173" s="38">
        <f t="shared" si="22"/>
        <v>7.7</v>
      </c>
      <c r="I173" s="38">
        <f t="shared" si="23"/>
        <v>8.84</v>
      </c>
      <c r="J173" s="38">
        <f t="shared" si="24"/>
        <v>8.0500000000000007</v>
      </c>
      <c r="K173" s="17" t="s">
        <v>273</v>
      </c>
      <c r="L173" s="6">
        <f t="shared" si="25"/>
        <v>8.983451536643014E-2</v>
      </c>
      <c r="M173" s="1"/>
      <c r="N173" s="18"/>
      <c r="O173" s="18"/>
    </row>
    <row r="174" spans="1:15" s="26" customFormat="1" x14ac:dyDescent="0.3">
      <c r="A174" s="11" t="s">
        <v>184</v>
      </c>
      <c r="B174" s="11" t="s">
        <v>184</v>
      </c>
      <c r="C174" s="44" t="s">
        <v>185</v>
      </c>
      <c r="D174" s="37" t="s">
        <v>31</v>
      </c>
      <c r="E174" s="19">
        <v>42.6</v>
      </c>
      <c r="F174" s="19">
        <v>42.6</v>
      </c>
      <c r="G174" s="38">
        <f t="shared" si="21"/>
        <v>48.54</v>
      </c>
      <c r="H174" s="38">
        <f t="shared" si="22"/>
        <v>46.86</v>
      </c>
      <c r="I174" s="38">
        <f t="shared" si="23"/>
        <v>50.739999999999995</v>
      </c>
      <c r="J174" s="38">
        <f t="shared" si="24"/>
        <v>48.99</v>
      </c>
      <c r="K174" s="23" t="s">
        <v>304</v>
      </c>
      <c r="L174" s="6">
        <f t="shared" si="25"/>
        <v>3.4610630407910993E-2</v>
      </c>
      <c r="M174" s="1"/>
      <c r="N174" s="18"/>
      <c r="O174" s="18"/>
    </row>
    <row r="175" spans="1:15" s="26" customFormat="1" x14ac:dyDescent="0.3">
      <c r="A175" s="11" t="s">
        <v>186</v>
      </c>
      <c r="B175" s="11" t="s">
        <v>186</v>
      </c>
      <c r="C175" s="16" t="s">
        <v>476</v>
      </c>
      <c r="D175" s="37" t="s">
        <v>31</v>
      </c>
      <c r="E175" s="19">
        <v>55.9</v>
      </c>
      <c r="F175" s="19">
        <v>55.9</v>
      </c>
      <c r="G175" s="38">
        <f t="shared" si="21"/>
        <v>63.69</v>
      </c>
      <c r="H175" s="38">
        <f t="shared" si="22"/>
        <v>61.49</v>
      </c>
      <c r="I175" s="38">
        <f t="shared" si="23"/>
        <v>66.59</v>
      </c>
      <c r="J175" s="38">
        <f t="shared" si="24"/>
        <v>64.290000000000006</v>
      </c>
      <c r="K175" s="24" t="s">
        <v>305</v>
      </c>
      <c r="L175" s="6">
        <f t="shared" si="25"/>
        <v>3.4542314335060387E-2</v>
      </c>
      <c r="M175" s="1"/>
      <c r="N175" s="18"/>
      <c r="O175" s="18"/>
    </row>
    <row r="176" spans="1:15" s="26" customFormat="1" x14ac:dyDescent="0.3">
      <c r="A176" s="11" t="s">
        <v>187</v>
      </c>
      <c r="B176" s="11" t="s">
        <v>187</v>
      </c>
      <c r="C176" s="16" t="s">
        <v>477</v>
      </c>
      <c r="D176" s="37" t="s">
        <v>31</v>
      </c>
      <c r="E176" s="19">
        <v>59.8</v>
      </c>
      <c r="F176" s="19">
        <v>59.8</v>
      </c>
      <c r="G176" s="38">
        <f t="shared" si="21"/>
        <v>68.13000000000001</v>
      </c>
      <c r="H176" s="38">
        <f t="shared" si="22"/>
        <v>65.78</v>
      </c>
      <c r="I176" s="38">
        <f t="shared" si="23"/>
        <v>71.23</v>
      </c>
      <c r="J176" s="38">
        <f t="shared" si="24"/>
        <v>68.77</v>
      </c>
      <c r="K176" s="24" t="s">
        <v>306</v>
      </c>
      <c r="L176" s="6">
        <f t="shared" si="25"/>
        <v>3.4492881256421665E-2</v>
      </c>
      <c r="M176" s="1"/>
      <c r="N176" s="18"/>
      <c r="O176" s="18"/>
    </row>
    <row r="177" spans="1:15" s="26" customFormat="1" x14ac:dyDescent="0.3">
      <c r="A177" s="11" t="s">
        <v>188</v>
      </c>
      <c r="B177" s="11" t="s">
        <v>188</v>
      </c>
      <c r="C177" s="16" t="s">
        <v>478</v>
      </c>
      <c r="D177" s="37" t="s">
        <v>31</v>
      </c>
      <c r="E177" s="19">
        <v>31.2</v>
      </c>
      <c r="F177" s="19">
        <v>31.2</v>
      </c>
      <c r="G177" s="38">
        <f t="shared" si="21"/>
        <v>35.549999999999997</v>
      </c>
      <c r="H177" s="38">
        <f t="shared" si="22"/>
        <v>34.32</v>
      </c>
      <c r="I177" s="38">
        <f t="shared" si="23"/>
        <v>37.169999999999995</v>
      </c>
      <c r="J177" s="38">
        <f t="shared" si="24"/>
        <v>35.880000000000003</v>
      </c>
      <c r="K177" s="24" t="s">
        <v>307</v>
      </c>
      <c r="L177" s="6">
        <f t="shared" si="25"/>
        <v>3.4599156118143376E-2</v>
      </c>
      <c r="M177" s="1"/>
      <c r="N177" s="18"/>
      <c r="O177" s="18"/>
    </row>
    <row r="178" spans="1:15" s="26" customFormat="1" x14ac:dyDescent="0.3">
      <c r="A178" s="11" t="s">
        <v>189</v>
      </c>
      <c r="B178" s="11" t="s">
        <v>189</v>
      </c>
      <c r="C178" s="43" t="s">
        <v>479</v>
      </c>
      <c r="D178" s="37" t="s">
        <v>24</v>
      </c>
      <c r="E178" s="19">
        <v>7.42</v>
      </c>
      <c r="F178" s="10">
        <v>7</v>
      </c>
      <c r="G178" s="38">
        <f t="shared" si="21"/>
        <v>8.4599999999999991</v>
      </c>
      <c r="H178" s="38">
        <f t="shared" si="22"/>
        <v>7.7</v>
      </c>
      <c r="I178" s="38">
        <f t="shared" si="23"/>
        <v>8.84</v>
      </c>
      <c r="J178" s="38">
        <f t="shared" si="24"/>
        <v>8.0500000000000007</v>
      </c>
      <c r="K178" s="17" t="s">
        <v>273</v>
      </c>
      <c r="L178" s="6">
        <f t="shared" si="25"/>
        <v>8.983451536643014E-2</v>
      </c>
      <c r="M178" s="1"/>
      <c r="N178" s="18"/>
      <c r="O178" s="18"/>
    </row>
    <row r="179" spans="1:15" s="26" customFormat="1" x14ac:dyDescent="0.3">
      <c r="A179" s="11" t="s">
        <v>190</v>
      </c>
      <c r="B179" s="11" t="s">
        <v>190</v>
      </c>
      <c r="C179" s="16" t="s">
        <v>480</v>
      </c>
      <c r="D179" s="37" t="s">
        <v>31</v>
      </c>
      <c r="E179" s="19">
        <v>12</v>
      </c>
      <c r="F179" s="19">
        <v>12</v>
      </c>
      <c r="G179" s="38">
        <f t="shared" si="21"/>
        <v>13.68</v>
      </c>
      <c r="H179" s="38">
        <f t="shared" si="22"/>
        <v>13.2</v>
      </c>
      <c r="I179" s="38">
        <f t="shared" si="23"/>
        <v>14.299999999999999</v>
      </c>
      <c r="J179" s="38">
        <f t="shared" si="24"/>
        <v>13.8</v>
      </c>
      <c r="K179" s="24" t="s">
        <v>308</v>
      </c>
      <c r="L179" s="6">
        <f t="shared" si="25"/>
        <v>3.5087719298245647E-2</v>
      </c>
      <c r="M179" s="1"/>
      <c r="N179" s="18"/>
      <c r="O179" s="18"/>
    </row>
    <row r="180" spans="1:15" s="26" customFormat="1" x14ac:dyDescent="0.3">
      <c r="A180" s="11" t="s">
        <v>191</v>
      </c>
      <c r="B180" s="11" t="s">
        <v>191</v>
      </c>
      <c r="C180" s="16" t="s">
        <v>481</v>
      </c>
      <c r="D180" s="37" t="s">
        <v>31</v>
      </c>
      <c r="E180" s="19">
        <v>14.4</v>
      </c>
      <c r="F180" s="10">
        <v>14.4</v>
      </c>
      <c r="G180" s="38">
        <f t="shared" si="21"/>
        <v>16.41</v>
      </c>
      <c r="H180" s="38">
        <f t="shared" si="22"/>
        <v>15.84</v>
      </c>
      <c r="I180" s="38">
        <f t="shared" si="23"/>
        <v>17.16</v>
      </c>
      <c r="J180" s="38">
        <f t="shared" si="24"/>
        <v>16.559999999999999</v>
      </c>
      <c r="K180" s="24" t="s">
        <v>309</v>
      </c>
      <c r="L180" s="6">
        <f t="shared" si="25"/>
        <v>3.4734917733089593E-2</v>
      </c>
      <c r="M180" s="1"/>
      <c r="N180" s="18"/>
      <c r="O180" s="18"/>
    </row>
    <row r="181" spans="1:15" s="26" customFormat="1" x14ac:dyDescent="0.3">
      <c r="A181" s="11" t="s">
        <v>192</v>
      </c>
      <c r="B181" s="11" t="s">
        <v>192</v>
      </c>
      <c r="C181" s="16" t="s">
        <v>482</v>
      </c>
      <c r="D181" s="37" t="s">
        <v>104</v>
      </c>
      <c r="E181" s="19">
        <v>3.75</v>
      </c>
      <c r="F181" s="10">
        <v>3.75</v>
      </c>
      <c r="G181" s="38">
        <f t="shared" si="21"/>
        <v>4.2799999999999994</v>
      </c>
      <c r="H181" s="38">
        <f t="shared" si="22"/>
        <v>4.13</v>
      </c>
      <c r="I181" s="38">
        <f t="shared" si="23"/>
        <v>4.47</v>
      </c>
      <c r="J181" s="38">
        <f t="shared" si="24"/>
        <v>4.3199999999999994</v>
      </c>
      <c r="K181" s="24" t="s">
        <v>310</v>
      </c>
      <c r="L181" s="6">
        <f t="shared" si="25"/>
        <v>3.5046728971962496E-2</v>
      </c>
      <c r="M181" s="1"/>
      <c r="N181" s="18"/>
      <c r="O181" s="18"/>
    </row>
    <row r="182" spans="1:15" s="26" customFormat="1" x14ac:dyDescent="0.3">
      <c r="A182" s="11" t="s">
        <v>193</v>
      </c>
      <c r="B182" s="11" t="s">
        <v>193</v>
      </c>
      <c r="C182" s="16" t="s">
        <v>483</v>
      </c>
      <c r="D182" s="37" t="s">
        <v>31</v>
      </c>
      <c r="E182" s="10">
        <v>19.5</v>
      </c>
      <c r="F182" s="10">
        <v>19.5</v>
      </c>
      <c r="G182" s="38">
        <f t="shared" si="21"/>
        <v>22.220000000000002</v>
      </c>
      <c r="H182" s="38">
        <f t="shared" si="22"/>
        <v>21.45</v>
      </c>
      <c r="I182" s="38">
        <f t="shared" si="23"/>
        <v>23.23</v>
      </c>
      <c r="J182" s="38">
        <f t="shared" si="24"/>
        <v>22.430000000000003</v>
      </c>
      <c r="K182" s="24" t="s">
        <v>311</v>
      </c>
      <c r="L182" s="6">
        <f t="shared" si="25"/>
        <v>3.4653465346534788E-2</v>
      </c>
      <c r="M182" s="1"/>
      <c r="N182" s="18"/>
      <c r="O182" s="18"/>
    </row>
    <row r="183" spans="1:15" s="1" customFormat="1" x14ac:dyDescent="0.3">
      <c r="A183" s="11" t="s">
        <v>194</v>
      </c>
      <c r="B183" s="11" t="s">
        <v>194</v>
      </c>
      <c r="C183" s="16" t="s">
        <v>484</v>
      </c>
      <c r="D183" s="37" t="s">
        <v>31</v>
      </c>
      <c r="E183" s="19">
        <v>69</v>
      </c>
      <c r="F183" s="19">
        <v>69</v>
      </c>
      <c r="G183" s="38">
        <f t="shared" si="21"/>
        <v>78.62</v>
      </c>
      <c r="H183" s="38">
        <f t="shared" si="22"/>
        <v>75.900000000000006</v>
      </c>
      <c r="I183" s="38">
        <f t="shared" si="23"/>
        <v>82.190000000000012</v>
      </c>
      <c r="J183" s="38">
        <f t="shared" si="24"/>
        <v>79.349999999999994</v>
      </c>
      <c r="K183" s="24" t="s">
        <v>312</v>
      </c>
      <c r="L183" s="6">
        <f t="shared" si="25"/>
        <v>3.4596794708725502E-2</v>
      </c>
      <c r="N183" s="18"/>
      <c r="O183" s="18"/>
    </row>
    <row r="184" spans="1:15" s="26" customFormat="1" x14ac:dyDescent="0.3">
      <c r="A184" s="11" t="s">
        <v>195</v>
      </c>
      <c r="B184" s="11" t="s">
        <v>195</v>
      </c>
      <c r="C184" s="16" t="s">
        <v>485</v>
      </c>
      <c r="D184" s="37" t="s">
        <v>31</v>
      </c>
      <c r="E184" s="19">
        <v>24.75</v>
      </c>
      <c r="F184" s="19">
        <v>24.75</v>
      </c>
      <c r="G184" s="38">
        <f t="shared" si="21"/>
        <v>28.200000000000003</v>
      </c>
      <c r="H184" s="38">
        <f t="shared" si="22"/>
        <v>27.23</v>
      </c>
      <c r="I184" s="38">
        <f t="shared" si="23"/>
        <v>29.48</v>
      </c>
      <c r="J184" s="38">
        <f t="shared" si="24"/>
        <v>28.470000000000002</v>
      </c>
      <c r="K184" s="24" t="s">
        <v>313</v>
      </c>
      <c r="L184" s="6">
        <f t="shared" si="25"/>
        <v>3.439716312056746E-2</v>
      </c>
      <c r="M184" s="1"/>
      <c r="N184" s="18"/>
      <c r="O184" s="18"/>
    </row>
    <row r="185" spans="1:15" s="26" customFormat="1" x14ac:dyDescent="0.3">
      <c r="A185" s="11" t="s">
        <v>196</v>
      </c>
      <c r="B185" s="11" t="s">
        <v>196</v>
      </c>
      <c r="C185" s="16" t="s">
        <v>486</v>
      </c>
      <c r="D185" s="37" t="s">
        <v>31</v>
      </c>
      <c r="E185" s="19">
        <v>28.64</v>
      </c>
      <c r="F185" s="19">
        <v>28.64</v>
      </c>
      <c r="G185" s="38">
        <f t="shared" si="21"/>
        <v>32.629999999999995</v>
      </c>
      <c r="H185" s="38">
        <f t="shared" si="22"/>
        <v>31.51</v>
      </c>
      <c r="I185" s="38">
        <f t="shared" si="23"/>
        <v>34.119999999999997</v>
      </c>
      <c r="J185" s="38">
        <f t="shared" si="24"/>
        <v>32.94</v>
      </c>
      <c r="K185" s="24" t="s">
        <v>314</v>
      </c>
      <c r="L185" s="6">
        <f t="shared" si="25"/>
        <v>3.4324241495556053E-2</v>
      </c>
      <c r="M185" s="1"/>
      <c r="N185" s="18"/>
      <c r="O185" s="18"/>
    </row>
    <row r="186" spans="1:15" s="26" customFormat="1" x14ac:dyDescent="0.3">
      <c r="A186" s="11" t="s">
        <v>197</v>
      </c>
      <c r="B186" s="11" t="s">
        <v>197</v>
      </c>
      <c r="C186" s="16" t="s">
        <v>487</v>
      </c>
      <c r="D186" s="37" t="s">
        <v>31</v>
      </c>
      <c r="E186" s="19">
        <v>41.01</v>
      </c>
      <c r="F186" s="19">
        <v>41.01</v>
      </c>
      <c r="G186" s="38">
        <f t="shared" si="21"/>
        <v>46.73</v>
      </c>
      <c r="H186" s="38">
        <f t="shared" si="22"/>
        <v>45.12</v>
      </c>
      <c r="I186" s="38">
        <f t="shared" si="23"/>
        <v>48.85</v>
      </c>
      <c r="J186" s="38">
        <f t="shared" si="24"/>
        <v>47.169999999999995</v>
      </c>
      <c r="K186" s="24" t="s">
        <v>313</v>
      </c>
      <c r="L186" s="6">
        <f t="shared" si="25"/>
        <v>3.4453242028675363E-2</v>
      </c>
      <c r="M186" s="1"/>
      <c r="N186" s="18"/>
      <c r="O186" s="18"/>
    </row>
    <row r="187" spans="1:15" s="26" customFormat="1" x14ac:dyDescent="0.3">
      <c r="A187" s="11" t="s">
        <v>198</v>
      </c>
      <c r="B187" s="11" t="s">
        <v>198</v>
      </c>
      <c r="C187" s="45" t="s">
        <v>488</v>
      </c>
      <c r="D187" s="37" t="s">
        <v>207</v>
      </c>
      <c r="E187" s="19">
        <v>6.39</v>
      </c>
      <c r="F187" s="19">
        <v>6.39</v>
      </c>
      <c r="G187" s="38">
        <f t="shared" si="21"/>
        <v>7.29</v>
      </c>
      <c r="H187" s="38">
        <f t="shared" si="22"/>
        <v>7.0299999999999994</v>
      </c>
      <c r="I187" s="38">
        <f t="shared" si="23"/>
        <v>7.62</v>
      </c>
      <c r="J187" s="38">
        <f t="shared" si="24"/>
        <v>7.35</v>
      </c>
      <c r="K187" s="24" t="s">
        <v>315</v>
      </c>
      <c r="L187" s="6">
        <f t="shared" si="25"/>
        <v>3.5665294924554274E-2</v>
      </c>
      <c r="M187" s="1"/>
      <c r="N187" s="18"/>
      <c r="O187" s="18"/>
    </row>
    <row r="188" spans="1:15" s="26" customFormat="1" x14ac:dyDescent="0.3">
      <c r="A188" s="11" t="s">
        <v>199</v>
      </c>
      <c r="B188" s="11" t="s">
        <v>199</v>
      </c>
      <c r="C188" s="46" t="s">
        <v>489</v>
      </c>
      <c r="D188" s="37" t="s">
        <v>207</v>
      </c>
      <c r="E188" s="19">
        <v>2.1599999999999997</v>
      </c>
      <c r="F188" s="19">
        <v>2.1599999999999997</v>
      </c>
      <c r="G188" s="38">
        <f t="shared" si="21"/>
        <v>2.4699999999999998</v>
      </c>
      <c r="H188" s="38">
        <f t="shared" si="22"/>
        <v>2.38</v>
      </c>
      <c r="I188" s="38">
        <f t="shared" si="23"/>
        <v>2.5799999999999996</v>
      </c>
      <c r="J188" s="38">
        <f t="shared" si="24"/>
        <v>2.4899999999999998</v>
      </c>
      <c r="K188" s="24" t="s">
        <v>316</v>
      </c>
      <c r="L188" s="6">
        <f t="shared" si="25"/>
        <v>3.6437246963562701E-2</v>
      </c>
      <c r="M188" s="1"/>
      <c r="N188" s="18"/>
      <c r="O188" s="18"/>
    </row>
    <row r="189" spans="1:15" s="26" customFormat="1" x14ac:dyDescent="0.3">
      <c r="A189" s="11" t="s">
        <v>200</v>
      </c>
      <c r="B189" s="11" t="s">
        <v>200</v>
      </c>
      <c r="C189" s="46" t="s">
        <v>490</v>
      </c>
      <c r="D189" s="37" t="s">
        <v>207</v>
      </c>
      <c r="E189" s="19">
        <v>4.9799999999999995</v>
      </c>
      <c r="F189" s="19">
        <v>4.9799999999999995</v>
      </c>
      <c r="G189" s="38">
        <f t="shared" si="21"/>
        <v>5.68</v>
      </c>
      <c r="H189" s="38">
        <f t="shared" si="22"/>
        <v>5.4799999999999995</v>
      </c>
      <c r="I189" s="38">
        <f t="shared" si="23"/>
        <v>5.9399999999999995</v>
      </c>
      <c r="J189" s="38">
        <f t="shared" si="24"/>
        <v>5.7299999999999995</v>
      </c>
      <c r="K189" s="24" t="s">
        <v>317</v>
      </c>
      <c r="L189" s="6">
        <f t="shared" si="25"/>
        <v>3.5211267605633839E-2</v>
      </c>
      <c r="M189" s="1"/>
      <c r="N189" s="18"/>
      <c r="O189" s="18"/>
    </row>
    <row r="190" spans="1:15" s="26" customFormat="1" x14ac:dyDescent="0.3">
      <c r="A190" s="11" t="s">
        <v>201</v>
      </c>
      <c r="B190" s="11" t="s">
        <v>201</v>
      </c>
      <c r="C190" s="46" t="s">
        <v>491</v>
      </c>
      <c r="D190" s="37" t="s">
        <v>207</v>
      </c>
      <c r="E190" s="19">
        <v>3.09</v>
      </c>
      <c r="F190" s="19">
        <v>3.09</v>
      </c>
      <c r="G190" s="38">
        <f t="shared" si="21"/>
        <v>3.53</v>
      </c>
      <c r="H190" s="38">
        <f t="shared" si="22"/>
        <v>3.4</v>
      </c>
      <c r="I190" s="38">
        <f t="shared" si="23"/>
        <v>3.69</v>
      </c>
      <c r="J190" s="38">
        <f t="shared" si="24"/>
        <v>3.5599999999999996</v>
      </c>
      <c r="K190" s="24" t="s">
        <v>318</v>
      </c>
      <c r="L190" s="6">
        <f t="shared" si="25"/>
        <v>3.6827195467422066E-2</v>
      </c>
      <c r="M190" s="1"/>
      <c r="N190" s="18"/>
      <c r="O190" s="18"/>
    </row>
    <row r="191" spans="1:15" s="26" customFormat="1" x14ac:dyDescent="0.3">
      <c r="A191" s="11" t="s">
        <v>202</v>
      </c>
      <c r="B191" s="11" t="s">
        <v>202</v>
      </c>
      <c r="C191" s="43" t="s">
        <v>492</v>
      </c>
      <c r="D191" s="37" t="s">
        <v>24</v>
      </c>
      <c r="E191" s="19">
        <v>16</v>
      </c>
      <c r="F191" s="19">
        <v>15</v>
      </c>
      <c r="G191" s="38">
        <f t="shared" si="21"/>
        <v>18.23</v>
      </c>
      <c r="H191" s="38">
        <f t="shared" si="22"/>
        <v>16.5</v>
      </c>
      <c r="I191" s="38">
        <f t="shared" si="23"/>
        <v>19.060000000000002</v>
      </c>
      <c r="J191" s="38">
        <f t="shared" si="24"/>
        <v>17.25</v>
      </c>
      <c r="K191" s="24" t="s">
        <v>273</v>
      </c>
      <c r="L191" s="6">
        <f t="shared" si="25"/>
        <v>9.4898518924849171E-2</v>
      </c>
      <c r="M191" s="1"/>
      <c r="N191" s="18"/>
      <c r="O191" s="18"/>
    </row>
    <row r="192" spans="1:15" s="26" customFormat="1" x14ac:dyDescent="0.3">
      <c r="A192" s="11" t="s">
        <v>203</v>
      </c>
      <c r="B192" s="11" t="s">
        <v>203</v>
      </c>
      <c r="C192" s="43" t="s">
        <v>493</v>
      </c>
      <c r="D192" s="37" t="s">
        <v>24</v>
      </c>
      <c r="E192" s="19">
        <v>5.5</v>
      </c>
      <c r="F192" s="19">
        <v>5.5</v>
      </c>
      <c r="G192" s="38">
        <f t="shared" si="21"/>
        <v>6.27</v>
      </c>
      <c r="H192" s="38">
        <f t="shared" si="22"/>
        <v>6.05</v>
      </c>
      <c r="I192" s="38">
        <f t="shared" si="23"/>
        <v>6.56</v>
      </c>
      <c r="J192" s="38">
        <f t="shared" si="24"/>
        <v>6.33</v>
      </c>
      <c r="K192" s="24" t="s">
        <v>271</v>
      </c>
      <c r="L192" s="6">
        <f t="shared" si="25"/>
        <v>3.5087719298245577E-2</v>
      </c>
      <c r="M192" s="1"/>
      <c r="N192" s="18"/>
      <c r="O192" s="18"/>
    </row>
    <row r="193" spans="1:15" s="26" customFormat="1" x14ac:dyDescent="0.3">
      <c r="A193" s="11" t="s">
        <v>204</v>
      </c>
      <c r="B193" s="11" t="s">
        <v>204</v>
      </c>
      <c r="C193" s="43" t="s">
        <v>494</v>
      </c>
      <c r="D193" s="37" t="s">
        <v>24</v>
      </c>
      <c r="E193" s="19">
        <v>35</v>
      </c>
      <c r="F193" s="19">
        <v>35</v>
      </c>
      <c r="G193" s="38">
        <f t="shared" si="21"/>
        <v>39.879999999999995</v>
      </c>
      <c r="H193" s="38">
        <f t="shared" si="22"/>
        <v>38.5</v>
      </c>
      <c r="I193" s="38">
        <f t="shared" si="23"/>
        <v>41.69</v>
      </c>
      <c r="J193" s="38">
        <f t="shared" si="24"/>
        <v>40.25</v>
      </c>
      <c r="K193" s="24" t="s">
        <v>271</v>
      </c>
      <c r="L193" s="6">
        <f t="shared" si="25"/>
        <v>3.46038114343028E-2</v>
      </c>
      <c r="M193" s="1"/>
      <c r="N193" s="18"/>
      <c r="O193" s="18"/>
    </row>
    <row r="194" spans="1:15" s="26" customFormat="1" x14ac:dyDescent="0.3">
      <c r="A194" s="11" t="s">
        <v>205</v>
      </c>
      <c r="B194" s="11" t="s">
        <v>205</v>
      </c>
      <c r="C194" s="16" t="s">
        <v>1307</v>
      </c>
      <c r="D194" s="37" t="s">
        <v>31</v>
      </c>
      <c r="E194" s="19">
        <v>5</v>
      </c>
      <c r="F194" s="19">
        <v>5</v>
      </c>
      <c r="G194" s="38">
        <f t="shared" si="21"/>
        <v>5.7</v>
      </c>
      <c r="H194" s="38">
        <f t="shared" si="22"/>
        <v>5.5</v>
      </c>
      <c r="I194" s="38">
        <f t="shared" si="23"/>
        <v>5.96</v>
      </c>
      <c r="J194" s="38">
        <f t="shared" si="24"/>
        <v>5.75</v>
      </c>
      <c r="K194" s="24" t="s">
        <v>273</v>
      </c>
      <c r="L194" s="6">
        <f t="shared" si="25"/>
        <v>3.5087719298245647E-2</v>
      </c>
      <c r="N194" s="18"/>
      <c r="O194" s="18"/>
    </row>
    <row r="195" spans="1:15" s="26" customFormat="1" x14ac:dyDescent="0.3">
      <c r="A195" s="11" t="s">
        <v>206</v>
      </c>
      <c r="B195" s="11" t="s">
        <v>206</v>
      </c>
      <c r="C195" s="16"/>
      <c r="D195" s="37"/>
      <c r="E195" s="19"/>
      <c r="F195" s="19"/>
      <c r="G195" s="38"/>
      <c r="H195" s="38"/>
      <c r="I195" s="38"/>
      <c r="J195" s="38"/>
      <c r="K195" s="24" t="s">
        <v>273</v>
      </c>
      <c r="L195" s="6"/>
      <c r="N195" s="18"/>
      <c r="O195" s="18"/>
    </row>
    <row r="196" spans="1:15" s="26" customFormat="1" x14ac:dyDescent="0.3">
      <c r="A196" s="11" t="s">
        <v>210</v>
      </c>
      <c r="B196" s="11" t="s">
        <v>210</v>
      </c>
      <c r="C196" s="16"/>
      <c r="D196" s="37"/>
      <c r="E196" s="19"/>
      <c r="F196" s="19"/>
      <c r="G196" s="38"/>
      <c r="H196" s="38"/>
      <c r="I196" s="38"/>
      <c r="J196" s="38"/>
      <c r="K196" s="24" t="s">
        <v>273</v>
      </c>
      <c r="L196" s="6"/>
      <c r="N196" s="18"/>
      <c r="O196" s="18"/>
    </row>
    <row r="197" spans="1:15" s="26" customFormat="1" x14ac:dyDescent="0.3">
      <c r="A197" s="11" t="s">
        <v>211</v>
      </c>
      <c r="B197" s="11" t="s">
        <v>211</v>
      </c>
      <c r="C197" s="16"/>
      <c r="D197" s="37"/>
      <c r="E197" s="19"/>
      <c r="F197" s="19"/>
      <c r="G197" s="38"/>
      <c r="H197" s="38"/>
      <c r="I197" s="38"/>
      <c r="J197" s="38"/>
      <c r="K197" s="24" t="s">
        <v>273</v>
      </c>
      <c r="L197" s="6"/>
      <c r="N197" s="18"/>
      <c r="O197" s="18"/>
    </row>
    <row r="198" spans="1:15" s="26" customFormat="1" x14ac:dyDescent="0.3">
      <c r="A198" s="11" t="s">
        <v>212</v>
      </c>
      <c r="B198" s="11" t="s">
        <v>212</v>
      </c>
      <c r="C198" s="16"/>
      <c r="D198" s="37"/>
      <c r="E198" s="19"/>
      <c r="F198" s="19"/>
      <c r="G198" s="38"/>
      <c r="H198" s="38"/>
      <c r="I198" s="38"/>
      <c r="J198" s="38"/>
      <c r="K198" s="24" t="s">
        <v>273</v>
      </c>
      <c r="L198" s="6"/>
      <c r="N198" s="18"/>
      <c r="O198" s="18"/>
    </row>
    <row r="199" spans="1:15" s="26" customFormat="1" x14ac:dyDescent="0.3">
      <c r="A199" s="11" t="s">
        <v>213</v>
      </c>
      <c r="B199" s="11" t="s">
        <v>213</v>
      </c>
      <c r="C199" s="16"/>
      <c r="D199" s="37"/>
      <c r="E199" s="19"/>
      <c r="F199" s="19"/>
      <c r="G199" s="38"/>
      <c r="H199" s="38"/>
      <c r="I199" s="38"/>
      <c r="J199" s="38"/>
      <c r="K199" s="24" t="s">
        <v>273</v>
      </c>
      <c r="L199" s="6"/>
      <c r="N199" s="18"/>
      <c r="O199" s="18"/>
    </row>
    <row r="200" spans="1:15" s="26" customFormat="1" x14ac:dyDescent="0.3">
      <c r="A200" s="11" t="s">
        <v>214</v>
      </c>
      <c r="B200" s="11" t="s">
        <v>214</v>
      </c>
      <c r="C200" s="16"/>
      <c r="D200" s="37"/>
      <c r="E200" s="19"/>
      <c r="F200" s="19"/>
      <c r="G200" s="38"/>
      <c r="H200" s="38"/>
      <c r="I200" s="38"/>
      <c r="J200" s="38"/>
      <c r="K200" s="24" t="s">
        <v>273</v>
      </c>
      <c r="L200" s="6"/>
      <c r="N200" s="18"/>
      <c r="O200" s="18"/>
    </row>
    <row r="201" spans="1:15" s="26" customFormat="1" x14ac:dyDescent="0.3">
      <c r="A201" s="11" t="s">
        <v>215</v>
      </c>
      <c r="B201" s="11" t="s">
        <v>215</v>
      </c>
      <c r="C201" s="16"/>
      <c r="D201" s="37"/>
      <c r="E201" s="19"/>
      <c r="F201" s="19"/>
      <c r="G201" s="38"/>
      <c r="H201" s="38"/>
      <c r="I201" s="38"/>
      <c r="J201" s="38"/>
      <c r="K201" s="24" t="s">
        <v>273</v>
      </c>
      <c r="L201" s="6"/>
      <c r="N201" s="18"/>
      <c r="O201" s="18"/>
    </row>
    <row r="202" spans="1:15" s="26" customFormat="1" x14ac:dyDescent="0.3">
      <c r="A202" s="11" t="s">
        <v>216</v>
      </c>
      <c r="B202" s="11" t="s">
        <v>216</v>
      </c>
      <c r="C202" s="16"/>
      <c r="D202" s="37"/>
      <c r="E202" s="19"/>
      <c r="F202" s="19"/>
      <c r="G202" s="38"/>
      <c r="H202" s="38"/>
      <c r="I202" s="38"/>
      <c r="J202" s="38"/>
      <c r="K202" s="24" t="s">
        <v>273</v>
      </c>
      <c r="L202" s="6"/>
      <c r="N202" s="18"/>
      <c r="O202" s="18"/>
    </row>
    <row r="203" spans="1:15" s="26" customFormat="1" x14ac:dyDescent="0.3">
      <c r="A203" s="11" t="s">
        <v>217</v>
      </c>
      <c r="B203" s="11" t="s">
        <v>217</v>
      </c>
      <c r="C203" s="16"/>
      <c r="D203" s="37"/>
      <c r="E203" s="19"/>
      <c r="F203" s="19"/>
      <c r="G203" s="38"/>
      <c r="H203" s="38"/>
      <c r="I203" s="38"/>
      <c r="J203" s="38"/>
      <c r="K203" s="24" t="s">
        <v>273</v>
      </c>
      <c r="L203" s="6"/>
      <c r="N203" s="18"/>
      <c r="O203" s="18"/>
    </row>
  </sheetData>
  <mergeCells count="1">
    <mergeCell ref="E3:F3"/>
  </mergeCells>
  <phoneticPr fontId="9" type="noConversion"/>
  <pageMargins left="0.75" right="0.75" top="0.21" bottom="0.34" header="0" footer="0"/>
  <pageSetup scale="82" fitToHeight="0" orientation="portrait" horizontalDpi="180" verticalDpi="144"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27A15-8A4A-4F04-BA70-E856218233D7}">
  <sheetPr>
    <pageSetUpPr fitToPage="1"/>
  </sheetPr>
  <dimension ref="A1:AB248"/>
  <sheetViews>
    <sheetView tabSelected="1" topLeftCell="A202" zoomScale="57" zoomScaleNormal="70" workbookViewId="0">
      <selection activeCell="V202" sqref="V202:V248"/>
    </sheetView>
  </sheetViews>
  <sheetFormatPr baseColWidth="10" defaultRowHeight="27.6" x14ac:dyDescent="0.45"/>
  <cols>
    <col min="1" max="1" width="9.33203125" style="68" customWidth="1"/>
    <col min="2" max="2" width="16.6640625" bestFit="1" customWidth="1"/>
    <col min="3" max="3" width="17.6640625" customWidth="1"/>
    <col min="4" max="4" width="85.6640625" style="89" customWidth="1"/>
    <col min="5" max="5" width="10.77734375" style="28" customWidth="1"/>
    <col min="6" max="7" width="11.5546875" style="20" bestFit="1" customWidth="1"/>
    <col min="8" max="11" width="11.77734375" style="27" bestFit="1" customWidth="1"/>
    <col min="12" max="12" width="35.109375" style="29" customWidth="1"/>
    <col min="13" max="14" width="15.88671875" style="27" customWidth="1"/>
    <col min="15" max="16" width="15.88671875" style="20" customWidth="1"/>
    <col min="17" max="20" width="15.88671875" style="27" customWidth="1"/>
    <col min="21" max="21" width="20.77734375" style="29" customWidth="1"/>
    <col min="22" max="22" width="35.6640625" style="6" customWidth="1"/>
    <col min="23" max="23" width="191.77734375" bestFit="1" customWidth="1"/>
    <col min="27" max="27" width="16.88671875" bestFit="1" customWidth="1"/>
  </cols>
  <sheetData>
    <row r="1" spans="1:28" s="1" customFormat="1" ht="37.200000000000003" x14ac:dyDescent="0.45">
      <c r="A1" s="67"/>
      <c r="D1" s="76" t="s">
        <v>0</v>
      </c>
      <c r="E1" s="3"/>
      <c r="H1" s="4"/>
      <c r="I1" s="4"/>
      <c r="J1" s="4"/>
      <c r="K1" s="4"/>
      <c r="L1" s="5"/>
      <c r="M1" s="4"/>
      <c r="N1" s="4"/>
      <c r="Q1" s="4"/>
      <c r="R1" s="4"/>
      <c r="S1" s="4"/>
      <c r="T1" s="4"/>
      <c r="U1" s="5"/>
      <c r="V1" s="6"/>
    </row>
    <row r="2" spans="1:28" s="67" customFormat="1" ht="28.8" x14ac:dyDescent="0.55000000000000004">
      <c r="B2" s="69">
        <v>0</v>
      </c>
      <c r="C2" s="69">
        <v>1</v>
      </c>
      <c r="D2" s="77">
        <v>2</v>
      </c>
      <c r="E2" s="69">
        <v>3</v>
      </c>
      <c r="F2" s="69">
        <v>4</v>
      </c>
      <c r="G2" s="69">
        <v>5</v>
      </c>
      <c r="H2" s="69">
        <v>6</v>
      </c>
      <c r="I2" s="69">
        <v>7</v>
      </c>
      <c r="J2" s="69">
        <v>8</v>
      </c>
      <c r="K2" s="69">
        <v>9</v>
      </c>
      <c r="L2" s="69">
        <v>10</v>
      </c>
      <c r="M2" s="69">
        <v>11</v>
      </c>
      <c r="N2" s="69">
        <v>12</v>
      </c>
      <c r="O2" s="69">
        <v>13</v>
      </c>
      <c r="P2" s="69">
        <v>14</v>
      </c>
      <c r="Q2" s="69">
        <v>15</v>
      </c>
      <c r="R2" s="69">
        <v>16</v>
      </c>
      <c r="S2" s="69">
        <v>17</v>
      </c>
      <c r="T2" s="69">
        <v>18</v>
      </c>
      <c r="U2" s="70"/>
      <c r="V2" s="71"/>
    </row>
    <row r="3" spans="1:28" s="1" customFormat="1" ht="15.6" x14ac:dyDescent="0.3">
      <c r="A3" s="91"/>
      <c r="B3" s="47" t="s">
        <v>1</v>
      </c>
      <c r="C3" s="47" t="s">
        <v>1</v>
      </c>
      <c r="D3" s="78" t="s">
        <v>2</v>
      </c>
      <c r="E3" s="48" t="s">
        <v>3</v>
      </c>
      <c r="F3" s="90" t="s">
        <v>4</v>
      </c>
      <c r="G3" s="90"/>
      <c r="H3" s="48" t="s">
        <v>496</v>
      </c>
      <c r="I3" s="48" t="s">
        <v>496</v>
      </c>
      <c r="J3" s="48" t="s">
        <v>497</v>
      </c>
      <c r="K3" s="48" t="s">
        <v>497</v>
      </c>
      <c r="L3" s="53" t="s">
        <v>321</v>
      </c>
      <c r="M3" s="62" t="s">
        <v>1299</v>
      </c>
      <c r="N3" s="62" t="s">
        <v>1322</v>
      </c>
      <c r="O3" s="61" t="s">
        <v>1300</v>
      </c>
      <c r="P3" s="61" t="s">
        <v>1301</v>
      </c>
      <c r="Q3" s="61" t="s">
        <v>1329</v>
      </c>
      <c r="R3" s="61" t="s">
        <v>1330</v>
      </c>
      <c r="S3" s="61" t="s">
        <v>1331</v>
      </c>
      <c r="T3" s="61" t="s">
        <v>1332</v>
      </c>
      <c r="U3" s="59"/>
      <c r="V3" s="6"/>
    </row>
    <row r="4" spans="1:28" s="1" customFormat="1" ht="15.6" x14ac:dyDescent="0.3">
      <c r="A4" s="91"/>
      <c r="B4" s="49"/>
      <c r="C4" s="49" t="s">
        <v>320</v>
      </c>
      <c r="D4" s="79"/>
      <c r="E4" s="50"/>
      <c r="F4" s="49" t="s">
        <v>6</v>
      </c>
      <c r="G4" s="49" t="s">
        <v>319</v>
      </c>
      <c r="H4" s="50" t="s">
        <v>5</v>
      </c>
      <c r="I4" s="49" t="s">
        <v>208</v>
      </c>
      <c r="J4" s="50" t="s">
        <v>5</v>
      </c>
      <c r="K4" s="49" t="s">
        <v>208</v>
      </c>
      <c r="L4" s="54"/>
      <c r="M4" s="63"/>
      <c r="N4" s="63"/>
      <c r="O4" s="64"/>
      <c r="P4" s="64"/>
      <c r="Q4" s="64"/>
      <c r="R4" s="64"/>
      <c r="S4" s="64"/>
      <c r="T4" s="64"/>
      <c r="U4" s="59"/>
      <c r="V4" s="6"/>
    </row>
    <row r="5" spans="1:28" s="1" customFormat="1" ht="15.6" x14ac:dyDescent="0.3">
      <c r="A5" s="91"/>
      <c r="B5" s="51"/>
      <c r="C5" s="51"/>
      <c r="D5" s="80"/>
      <c r="E5" s="52"/>
      <c r="F5" s="51" t="s">
        <v>7</v>
      </c>
      <c r="G5" s="51" t="s">
        <v>7</v>
      </c>
      <c r="H5" s="52" t="s">
        <v>7</v>
      </c>
      <c r="I5" s="51" t="s">
        <v>7</v>
      </c>
      <c r="J5" s="52" t="s">
        <v>7</v>
      </c>
      <c r="K5" s="51" t="s">
        <v>7</v>
      </c>
      <c r="L5" s="55"/>
      <c r="M5" s="65"/>
      <c r="N5" s="65"/>
      <c r="O5" s="66"/>
      <c r="P5" s="66"/>
      <c r="Q5" s="66"/>
      <c r="R5" s="66"/>
      <c r="S5" s="66"/>
      <c r="T5" s="66"/>
      <c r="U5" s="59"/>
      <c r="V5" s="6"/>
    </row>
    <row r="6" spans="1:28" s="1" customFormat="1" ht="28.8" x14ac:dyDescent="0.3">
      <c r="A6" s="73">
        <v>0</v>
      </c>
      <c r="B6" s="25" t="s">
        <v>1279</v>
      </c>
      <c r="C6" s="25" t="s">
        <v>1280</v>
      </c>
      <c r="D6" s="81" t="s">
        <v>1281</v>
      </c>
      <c r="E6" s="25" t="s">
        <v>1282</v>
      </c>
      <c r="F6" s="25" t="s">
        <v>1323</v>
      </c>
      <c r="G6" s="25" t="s">
        <v>1324</v>
      </c>
      <c r="H6" s="25" t="s">
        <v>1325</v>
      </c>
      <c r="I6" s="25" t="s">
        <v>1326</v>
      </c>
      <c r="J6" s="25" t="s">
        <v>1327</v>
      </c>
      <c r="K6" s="25" t="s">
        <v>1328</v>
      </c>
      <c r="L6" s="25" t="s">
        <v>1283</v>
      </c>
      <c r="M6" s="25" t="s">
        <v>1299</v>
      </c>
      <c r="N6" s="25" t="s">
        <v>1322</v>
      </c>
      <c r="O6" s="25" t="s">
        <v>1300</v>
      </c>
      <c r="P6" s="25" t="s">
        <v>1301</v>
      </c>
      <c r="Q6" s="25" t="s">
        <v>1329</v>
      </c>
      <c r="R6" s="25" t="s">
        <v>1330</v>
      </c>
      <c r="S6" s="25" t="s">
        <v>1331</v>
      </c>
      <c r="T6" s="25" t="s">
        <v>1332</v>
      </c>
      <c r="U6" s="60" t="s">
        <v>1103</v>
      </c>
      <c r="V6" s="6" t="s">
        <v>1354</v>
      </c>
      <c r="W6" s="18" t="str">
        <f>CONCATENATE("['",B6,"', '",C6,"', '",D6,"', '",E6,"', ",F6,", ",G6,", ",H6,", ",I6,", ",J6,", ",K6,", '",L6,"', ",M6,", ",N6,", ",O6,", ",P6,", ",Q6,", ",R6,", ",S6,", ",T6,"], ")</f>
        <v xml:space="preserve">['codigo ', 'codigo original', 'descripcion', 'unidad', costoc, costos, venta1CF, venta1CD, venta2CF, venta2CD, 'observaciones', ac_cantidad, ac_metros2, ac_costoc, ac_costos, ac_precio1cf, ac_precio1cd, ac_precio2cf, ac_precio2cd], </v>
      </c>
    </row>
    <row r="7" spans="1:28" s="1" customFormat="1" ht="28.8" x14ac:dyDescent="0.3">
      <c r="A7" s="73">
        <v>1</v>
      </c>
      <c r="B7" s="11" t="s">
        <v>9</v>
      </c>
      <c r="C7" s="11" t="s">
        <v>9</v>
      </c>
      <c r="D7" s="82" t="s">
        <v>322</v>
      </c>
      <c r="E7" s="35" t="s">
        <v>10</v>
      </c>
      <c r="F7" s="93" t="s">
        <v>498</v>
      </c>
      <c r="G7" s="93" t="s">
        <v>498</v>
      </c>
      <c r="H7" s="94" t="s">
        <v>499</v>
      </c>
      <c r="I7" s="94" t="s">
        <v>500</v>
      </c>
      <c r="J7" s="94" t="s">
        <v>501</v>
      </c>
      <c r="K7" s="94" t="s">
        <v>986</v>
      </c>
      <c r="L7" s="14" t="s">
        <v>219</v>
      </c>
      <c r="M7" s="36" t="s">
        <v>1430</v>
      </c>
      <c r="N7" s="36" t="s">
        <v>1430</v>
      </c>
      <c r="O7" s="36" t="s">
        <v>1430</v>
      </c>
      <c r="P7" s="36" t="s">
        <v>1430</v>
      </c>
      <c r="Q7" s="36" t="s">
        <v>1430</v>
      </c>
      <c r="R7" s="36" t="s">
        <v>1430</v>
      </c>
      <c r="S7" s="36" t="s">
        <v>1430</v>
      </c>
      <c r="T7" s="36" t="s">
        <v>1430</v>
      </c>
      <c r="U7" s="1" t="s">
        <v>1104</v>
      </c>
      <c r="V7" s="15" t="s">
        <v>1431</v>
      </c>
      <c r="W7" s="18" t="str">
        <f>CONCATENATE("['",B7,"', '",C7,"', '",D7,"', '",E7,"', ",F7,", ",G7,", ",H7,", ",I7,", ",J7,", ",K7,", '",L7,"', ",M7,", ",N7,", ",O7,", ",P7,", ",Q7,", ",R7,", ",S7,", ",T7,"], ")</f>
        <v xml:space="preserve">['M1', 'M1', 'SILICONA TRANSPARENTE, BLANCA O NEGRA', 'Tubo', 2.9, 2.9, 3.31, 3.19, 3.46, 3.34, 'MAROL 20 Bs. -   -   - ', 0.00, 0.00, 0.00, 0.00, 0.00, 0.00, 0.00, 0.00], </v>
      </c>
      <c r="X7" s="18"/>
      <c r="AB7" s="1" t="str">
        <f>CONCATENATE("['",B7,"', '",C7,"', '",D7,"', ",0,", '",E7,"'],")</f>
        <v>['M1', 'M1', 'SILICONA TRANSPARENTE, BLANCA O NEGRA', 0, 'Tubo'],</v>
      </c>
    </row>
    <row r="8" spans="1:28" s="1" customFormat="1" ht="28.8" x14ac:dyDescent="0.3">
      <c r="A8" s="73">
        <v>2</v>
      </c>
      <c r="B8" s="11" t="s">
        <v>11</v>
      </c>
      <c r="C8" s="11" t="s">
        <v>11</v>
      </c>
      <c r="D8" s="82" t="s">
        <v>323</v>
      </c>
      <c r="E8" s="35" t="s">
        <v>10</v>
      </c>
      <c r="F8" s="93" t="s">
        <v>503</v>
      </c>
      <c r="G8" s="93">
        <v>6</v>
      </c>
      <c r="H8" s="94" t="s">
        <v>504</v>
      </c>
      <c r="I8" s="94" t="s">
        <v>505</v>
      </c>
      <c r="J8" s="94" t="s">
        <v>506</v>
      </c>
      <c r="K8" s="94" t="s">
        <v>987</v>
      </c>
      <c r="L8" s="14" t="s">
        <v>219</v>
      </c>
      <c r="M8" s="36" t="s">
        <v>1430</v>
      </c>
      <c r="N8" s="36" t="s">
        <v>1430</v>
      </c>
      <c r="O8" s="36" t="s">
        <v>1430</v>
      </c>
      <c r="P8" s="36" t="s">
        <v>1430</v>
      </c>
      <c r="Q8" s="36" t="s">
        <v>1430</v>
      </c>
      <c r="R8" s="36" t="s">
        <v>1430</v>
      </c>
      <c r="S8" s="36" t="s">
        <v>1430</v>
      </c>
      <c r="T8" s="36" t="s">
        <v>1430</v>
      </c>
      <c r="U8" s="1" t="s">
        <v>1105</v>
      </c>
      <c r="V8" s="15" t="s">
        <v>1432</v>
      </c>
      <c r="W8" s="18" t="str">
        <f t="shared" ref="W8:W71" si="0">CONCATENATE("['",B8,"', '",C8,"', '",D8,"', '",E8,"', ",F8,", ",G8,", ",H8,", ",I8,", ",J8,", ",K8,", '",L8,"', ",M8,", ",N8,", ",O8,", ",P8,", ",Q8,", ",R8,", ",S8,", ",T8,"], ")</f>
        <v xml:space="preserve">['M2', 'M2', 'SILICONA ESTRUCTURAL', 'Tubo', 6.24, 6, 7.11, 6.59, 7.44, 6.9, 'MAROL 20 Bs. -   -   - ', 0.00, 0.00, 0.00, 0.00, 0.00, 0.00, 0.00, 0.00], </v>
      </c>
      <c r="X8" s="18"/>
      <c r="AB8" s="1" t="str">
        <f t="shared" ref="AB8:AB65" si="1">CONCATENATE("['",B8,"', '",C8,"', '",D8,"', ",0,", '",E8,"'],")</f>
        <v>['M2', 'M2', 'SILICONA ESTRUCTURAL', 0, 'Tubo'],</v>
      </c>
    </row>
    <row r="9" spans="1:28" s="1" customFormat="1" ht="28.8" x14ac:dyDescent="0.3">
      <c r="A9" s="73">
        <v>3</v>
      </c>
      <c r="B9" s="11" t="s">
        <v>12</v>
      </c>
      <c r="C9" s="11" t="s">
        <v>12</v>
      </c>
      <c r="D9" s="83" t="s">
        <v>1316</v>
      </c>
      <c r="E9" s="37" t="s">
        <v>13</v>
      </c>
      <c r="F9" s="95" t="s">
        <v>507</v>
      </c>
      <c r="G9" s="95" t="s">
        <v>507</v>
      </c>
      <c r="H9" s="96" t="s">
        <v>508</v>
      </c>
      <c r="I9" s="96" t="s">
        <v>509</v>
      </c>
      <c r="J9" s="96" t="s">
        <v>510</v>
      </c>
      <c r="K9" s="96" t="s">
        <v>508</v>
      </c>
      <c r="L9" s="17" t="s">
        <v>220</v>
      </c>
      <c r="M9" s="38" t="s">
        <v>1430</v>
      </c>
      <c r="N9" s="38" t="s">
        <v>1430</v>
      </c>
      <c r="O9" s="38" t="s">
        <v>1430</v>
      </c>
      <c r="P9" s="38" t="s">
        <v>1430</v>
      </c>
      <c r="Q9" s="38" t="s">
        <v>1430</v>
      </c>
      <c r="R9" s="38" t="s">
        <v>1430</v>
      </c>
      <c r="S9" s="38" t="s">
        <v>1430</v>
      </c>
      <c r="T9" s="38" t="s">
        <v>1430</v>
      </c>
      <c r="U9" s="1" t="s">
        <v>1106</v>
      </c>
      <c r="V9" s="6" t="s">
        <v>1433</v>
      </c>
      <c r="W9" s="18" t="str">
        <f t="shared" si="0"/>
        <v xml:space="preserve">['M3', 'M3', 'CINTA MASKING 1/2  Pulg. (ROLLO DE 20)', 'Rollo', 0.65, 0.65, 0.75, 0.72, 0.78, 0.75, 'Ribepar  -   -   - ', 0.00, 0.00, 0.00, 0.00, 0.00, 0.00, 0.00, 0.00], </v>
      </c>
      <c r="X9" s="18"/>
      <c r="AB9" s="1" t="str">
        <f t="shared" si="1"/>
        <v>['M3', 'M3', 'CINTA MASKING 1/2  Pulg. (ROLLO DE 20)', 0, 'Rollo'],</v>
      </c>
    </row>
    <row r="10" spans="1:28" s="1" customFormat="1" ht="28.8" x14ac:dyDescent="0.3">
      <c r="A10" s="73">
        <v>4</v>
      </c>
      <c r="B10" s="11" t="s">
        <v>14</v>
      </c>
      <c r="C10" s="11" t="s">
        <v>14</v>
      </c>
      <c r="D10" s="82" t="s">
        <v>1346</v>
      </c>
      <c r="E10" s="35" t="s">
        <v>15</v>
      </c>
      <c r="F10" s="93" t="s">
        <v>952</v>
      </c>
      <c r="G10" s="93" t="s">
        <v>952</v>
      </c>
      <c r="H10" s="94" t="s">
        <v>511</v>
      </c>
      <c r="I10" s="94" t="s">
        <v>512</v>
      </c>
      <c r="J10" s="94" t="s">
        <v>988</v>
      </c>
      <c r="K10" s="94" t="s">
        <v>989</v>
      </c>
      <c r="L10" s="14" t="s">
        <v>1369</v>
      </c>
      <c r="M10" s="36" t="s">
        <v>1430</v>
      </c>
      <c r="N10" s="36" t="s">
        <v>1430</v>
      </c>
      <c r="O10" s="36" t="s">
        <v>1430</v>
      </c>
      <c r="P10" s="36" t="s">
        <v>1430</v>
      </c>
      <c r="Q10" s="36" t="s">
        <v>1430</v>
      </c>
      <c r="R10" s="36" t="s">
        <v>1430</v>
      </c>
      <c r="S10" s="36" t="s">
        <v>1430</v>
      </c>
      <c r="T10" s="36" t="s">
        <v>1430</v>
      </c>
      <c r="U10" s="1" t="s">
        <v>1107</v>
      </c>
      <c r="V10" s="15" t="s">
        <v>1434</v>
      </c>
      <c r="W10" s="18" t="str">
        <f t="shared" si="0"/>
        <v xml:space="preserve">['M4', 'M4', 'U  15 X 15   ( 16X16 ) - 0,159 KG/MT.', 'Mt lineal', 0.79, 0.79, 0.9, 0.87, 0.95, 0.91, 'Alvicruz 4.1 + 15% - 0.954 Kgr./barra - 4.715 $us./barra - 4 puesto S.C.', 0.00, 0.00, 0.00, 0.00, 0.00, 0.00, 0.00, 0.00], </v>
      </c>
      <c r="X10" s="18"/>
      <c r="AB10" s="1" t="str">
        <f t="shared" si="1"/>
        <v>['M4', 'M4', 'U  15 X 15   ( 16X16 ) - 0,159 KG/MT.', 0, 'Mt lineal'],</v>
      </c>
    </row>
    <row r="11" spans="1:28" s="1" customFormat="1" ht="28.8" x14ac:dyDescent="0.3">
      <c r="A11" s="73">
        <v>5</v>
      </c>
      <c r="B11" s="11" t="s">
        <v>16</v>
      </c>
      <c r="C11" s="11" t="s">
        <v>16</v>
      </c>
      <c r="D11" s="82" t="s">
        <v>1347</v>
      </c>
      <c r="E11" s="35" t="s">
        <v>15</v>
      </c>
      <c r="F11" s="93" t="s">
        <v>886</v>
      </c>
      <c r="G11" s="93" t="s">
        <v>886</v>
      </c>
      <c r="H11" s="94" t="s">
        <v>513</v>
      </c>
      <c r="I11" s="94" t="s">
        <v>514</v>
      </c>
      <c r="J11" s="94" t="s">
        <v>990</v>
      </c>
      <c r="K11" s="94" t="s">
        <v>606</v>
      </c>
      <c r="L11" s="14" t="s">
        <v>1370</v>
      </c>
      <c r="M11" s="36" t="s">
        <v>1430</v>
      </c>
      <c r="N11" s="36" t="s">
        <v>1430</v>
      </c>
      <c r="O11" s="36" t="s">
        <v>1430</v>
      </c>
      <c r="P11" s="36" t="s">
        <v>1430</v>
      </c>
      <c r="Q11" s="36" t="s">
        <v>1430</v>
      </c>
      <c r="R11" s="36" t="s">
        <v>1430</v>
      </c>
      <c r="S11" s="36" t="s">
        <v>1430</v>
      </c>
      <c r="T11" s="36" t="s">
        <v>1430</v>
      </c>
      <c r="U11" s="1" t="s">
        <v>1108</v>
      </c>
      <c r="V11" s="15" t="s">
        <v>1435</v>
      </c>
      <c r="W11" s="18" t="str">
        <f t="shared" si="0"/>
        <v xml:space="preserve">['M5', 'M5', 'U  15 X 25 - 0,20 KG/MT.', 'Mt lineal', 1.14, 1.14, 1.29, 1.25, 1.36, 1.32, 'Alvicruz 5.9  + 15% - 1.2 Kgr./barra - 6.785 $us./barra - 5.8 puesto S.C.', 0.00, 0.00, 0.00, 0.00, 0.00, 0.00, 0.00, 0.00], </v>
      </c>
      <c r="X11" s="18"/>
      <c r="AB11" s="1" t="str">
        <f t="shared" si="1"/>
        <v>['M5', 'M5', 'U  15 X 25 - 0,20 KG/MT.', 0, 'Mt lineal'],</v>
      </c>
    </row>
    <row r="12" spans="1:28" s="1" customFormat="1" ht="28.8" x14ac:dyDescent="0.3">
      <c r="A12" s="73">
        <v>6</v>
      </c>
      <c r="B12" s="11" t="s">
        <v>17</v>
      </c>
      <c r="C12" s="11" t="s">
        <v>17</v>
      </c>
      <c r="D12" s="83" t="s">
        <v>327</v>
      </c>
      <c r="E12" s="37" t="s">
        <v>15</v>
      </c>
      <c r="F12" s="95" t="s">
        <v>953</v>
      </c>
      <c r="G12" s="95" t="s">
        <v>954</v>
      </c>
      <c r="H12" s="96" t="s">
        <v>516</v>
      </c>
      <c r="I12" s="96" t="s">
        <v>517</v>
      </c>
      <c r="J12" s="96" t="s">
        <v>991</v>
      </c>
      <c r="K12" s="96" t="s">
        <v>992</v>
      </c>
      <c r="L12" s="14" t="s">
        <v>1371</v>
      </c>
      <c r="M12" s="38" t="s">
        <v>1430</v>
      </c>
      <c r="N12" s="38" t="s">
        <v>1430</v>
      </c>
      <c r="O12" s="38" t="s">
        <v>1430</v>
      </c>
      <c r="P12" s="38" t="s">
        <v>1430</v>
      </c>
      <c r="Q12" s="38" t="s">
        <v>1430</v>
      </c>
      <c r="R12" s="38" t="s">
        <v>1430</v>
      </c>
      <c r="S12" s="38" t="s">
        <v>1430</v>
      </c>
      <c r="T12" s="38" t="s">
        <v>1430</v>
      </c>
      <c r="U12" s="1" t="s">
        <v>1109</v>
      </c>
      <c r="V12" s="6" t="s">
        <v>1436</v>
      </c>
      <c r="W12" s="18" t="str">
        <f t="shared" si="0"/>
        <v xml:space="preserve">['M6', 'M6', 'TUBO 50 X 50 - 1,037 KG/MT.', 'Mt lineal', 8.03, 7.71, 9.15, 8.48, 9.57, 8.87, 'Alcoa 6.73 + 15% - 6.222 Kgr./barra - 48.155169 $us./barra - ', 0.00, 0.00, 0.00, 0.00, 0.00, 0.00, 0.00, 0.00], </v>
      </c>
      <c r="X12" s="18"/>
      <c r="AB12" s="1" t="str">
        <f t="shared" si="1"/>
        <v>['M6', 'M6', 'TUBO 50 X 50 - 1,037 KG/MT.', 0, 'Mt lineal'],</v>
      </c>
    </row>
    <row r="13" spans="1:28" s="1" customFormat="1" ht="28.8" x14ac:dyDescent="0.3">
      <c r="A13" s="73">
        <v>7</v>
      </c>
      <c r="B13" s="11" t="s">
        <v>18</v>
      </c>
      <c r="C13" s="11" t="s">
        <v>18</v>
      </c>
      <c r="D13" s="83" t="s">
        <v>328</v>
      </c>
      <c r="E13" s="37" t="s">
        <v>15</v>
      </c>
      <c r="F13" s="95" t="s">
        <v>955</v>
      </c>
      <c r="G13" s="95" t="s">
        <v>943</v>
      </c>
      <c r="H13" s="96" t="s">
        <v>518</v>
      </c>
      <c r="I13" s="96" t="s">
        <v>519</v>
      </c>
      <c r="J13" s="96" t="s">
        <v>520</v>
      </c>
      <c r="K13" s="96" t="s">
        <v>993</v>
      </c>
      <c r="L13" s="14" t="s">
        <v>1372</v>
      </c>
      <c r="M13" s="38" t="s">
        <v>1430</v>
      </c>
      <c r="N13" s="38" t="s">
        <v>1430</v>
      </c>
      <c r="O13" s="38" t="s">
        <v>1430</v>
      </c>
      <c r="P13" s="38" t="s">
        <v>1430</v>
      </c>
      <c r="Q13" s="38" t="s">
        <v>1430</v>
      </c>
      <c r="R13" s="38" t="s">
        <v>1430</v>
      </c>
      <c r="S13" s="38" t="s">
        <v>1430</v>
      </c>
      <c r="T13" s="38" t="s">
        <v>1430</v>
      </c>
      <c r="U13" s="1" t="s">
        <v>1110</v>
      </c>
      <c r="V13" s="6" t="s">
        <v>1437</v>
      </c>
      <c r="W13" s="18" t="str">
        <f t="shared" si="0"/>
        <v xml:space="preserve">['M7', 'M7', 'TUBO 40 X 40 - 0,624 KG/MT.', 'Mt lineal', 4.83, 4.64, 5.51, 5.1, 5.76, 5.34, 'Alcoa 6.73 + 15% - 3.744 Kgr./barra - 28.976688 $us./barra - ', 0.00, 0.00, 0.00, 0.00, 0.00, 0.00, 0.00, 0.00], </v>
      </c>
      <c r="X13" s="18"/>
      <c r="AB13" s="1" t="str">
        <f t="shared" si="1"/>
        <v>['M7', 'M7', 'TUBO 40 X 40 - 0,624 KG/MT.', 0, 'Mt lineal'],</v>
      </c>
    </row>
    <row r="14" spans="1:28" s="1" customFormat="1" ht="40.200000000000003" x14ac:dyDescent="0.3">
      <c r="A14" s="73">
        <v>8</v>
      </c>
      <c r="B14" s="11" t="s">
        <v>19</v>
      </c>
      <c r="C14" s="11" t="s">
        <v>19</v>
      </c>
      <c r="D14" s="82" t="s">
        <v>329</v>
      </c>
      <c r="E14" s="35" t="s">
        <v>15</v>
      </c>
      <c r="F14" s="93" t="s">
        <v>956</v>
      </c>
      <c r="G14" s="93" t="s">
        <v>956</v>
      </c>
      <c r="H14" s="94" t="s">
        <v>521</v>
      </c>
      <c r="I14" s="94" t="s">
        <v>520</v>
      </c>
      <c r="J14" s="94" t="s">
        <v>994</v>
      </c>
      <c r="K14" s="94" t="s">
        <v>995</v>
      </c>
      <c r="L14" s="14" t="s">
        <v>1373</v>
      </c>
      <c r="M14" s="36" t="s">
        <v>1430</v>
      </c>
      <c r="N14" s="36" t="s">
        <v>1430</v>
      </c>
      <c r="O14" s="36" t="s">
        <v>1430</v>
      </c>
      <c r="P14" s="36" t="s">
        <v>1430</v>
      </c>
      <c r="Q14" s="36" t="s">
        <v>1430</v>
      </c>
      <c r="R14" s="36" t="s">
        <v>1430</v>
      </c>
      <c r="S14" s="36" t="s">
        <v>1430</v>
      </c>
      <c r="T14" s="36" t="s">
        <v>1430</v>
      </c>
      <c r="U14" s="1" t="s">
        <v>1111</v>
      </c>
      <c r="V14" s="15" t="s">
        <v>1438</v>
      </c>
      <c r="W14" s="18" t="str">
        <f t="shared" si="0"/>
        <v xml:space="preserve">['M8', 'M8', 'TUBO 80 X 40 - 0,948 KG/MT.', 'Mt lineal', 5.24, 5.24, 5.97, 5.76, 6.25, 6.03, 'Alvicruz 27.30  + 15% - 5.688 Kgr./barra - 31.395 $us./barra - 26.80 puesto S.C.', 0.00, 0.00, 0.00, 0.00, 0.00, 0.00, 0.00, 0.00], </v>
      </c>
      <c r="X14" s="18"/>
      <c r="AB14" s="1" t="str">
        <f t="shared" si="1"/>
        <v>['M8', 'M8', 'TUBO 80 X 40 - 0,948 KG/MT.', 0, 'Mt lineal'],</v>
      </c>
    </row>
    <row r="15" spans="1:28" s="1" customFormat="1" ht="28.8" x14ac:dyDescent="0.3">
      <c r="A15" s="73">
        <v>9</v>
      </c>
      <c r="B15" s="11" t="s">
        <v>20</v>
      </c>
      <c r="C15" s="11" t="s">
        <v>20</v>
      </c>
      <c r="D15" s="82" t="s">
        <v>330</v>
      </c>
      <c r="E15" s="35" t="s">
        <v>15</v>
      </c>
      <c r="F15" s="93" t="s">
        <v>635</v>
      </c>
      <c r="G15" s="93" t="s">
        <v>635</v>
      </c>
      <c r="H15" s="94" t="s">
        <v>522</v>
      </c>
      <c r="I15" s="94" t="s">
        <v>523</v>
      </c>
      <c r="J15" s="94" t="s">
        <v>524</v>
      </c>
      <c r="K15" s="94" t="s">
        <v>996</v>
      </c>
      <c r="L15" s="14" t="s">
        <v>1374</v>
      </c>
      <c r="M15" s="36" t="s">
        <v>1430</v>
      </c>
      <c r="N15" s="36" t="s">
        <v>1430</v>
      </c>
      <c r="O15" s="36" t="s">
        <v>1430</v>
      </c>
      <c r="P15" s="36" t="s">
        <v>1430</v>
      </c>
      <c r="Q15" s="36" t="s">
        <v>1430</v>
      </c>
      <c r="R15" s="36" t="s">
        <v>1430</v>
      </c>
      <c r="S15" s="36" t="s">
        <v>1430</v>
      </c>
      <c r="T15" s="36" t="s">
        <v>1430</v>
      </c>
      <c r="U15" s="1" t="s">
        <v>1112</v>
      </c>
      <c r="V15" s="15" t="s">
        <v>1439</v>
      </c>
      <c r="W15" s="18" t="str">
        <f t="shared" si="0"/>
        <v xml:space="preserve">['M9', 'M9', 'TUBO 60 X 30 - 0,705 KG/MT.', 'Mt lineal', 3.53, 3.53, 4.02, 3.88, 4.21, 4.06, 'Alvicruz 18.4  + 15% - 4.23 Kgr./barra - 21.16 $us./barra - 18 puesto S.C.', 0.00, 0.00, 0.00, 0.00, 0.00, 0.00, 0.00, 0.00], </v>
      </c>
      <c r="X15" s="18"/>
      <c r="AB15" s="1" t="str">
        <f t="shared" si="1"/>
        <v>['M9', 'M9', 'TUBO 60 X 30 - 0,705 KG/MT.', 0, 'Mt lineal'],</v>
      </c>
    </row>
    <row r="16" spans="1:28" s="1" customFormat="1" ht="28.8" x14ac:dyDescent="0.3">
      <c r="A16" s="73">
        <v>10</v>
      </c>
      <c r="B16" s="11" t="s">
        <v>21</v>
      </c>
      <c r="C16" s="11" t="s">
        <v>21</v>
      </c>
      <c r="D16" s="82" t="s">
        <v>331</v>
      </c>
      <c r="E16" s="35" t="s">
        <v>15</v>
      </c>
      <c r="F16" s="93" t="s">
        <v>957</v>
      </c>
      <c r="G16" s="93" t="s">
        <v>957</v>
      </c>
      <c r="H16" s="94" t="s">
        <v>525</v>
      </c>
      <c r="I16" s="94" t="s">
        <v>526</v>
      </c>
      <c r="J16" s="94" t="s">
        <v>997</v>
      </c>
      <c r="K16" s="94" t="s">
        <v>998</v>
      </c>
      <c r="L16" s="14" t="s">
        <v>1375</v>
      </c>
      <c r="M16" s="36" t="s">
        <v>1430</v>
      </c>
      <c r="N16" s="36" t="s">
        <v>1430</v>
      </c>
      <c r="O16" s="36" t="s">
        <v>1430</v>
      </c>
      <c r="P16" s="36" t="s">
        <v>1430</v>
      </c>
      <c r="Q16" s="36" t="s">
        <v>1430</v>
      </c>
      <c r="R16" s="36" t="s">
        <v>1430</v>
      </c>
      <c r="S16" s="36" t="s">
        <v>1430</v>
      </c>
      <c r="T16" s="36" t="s">
        <v>1430</v>
      </c>
      <c r="U16" s="1" t="s">
        <v>1113</v>
      </c>
      <c r="V16" s="15" t="s">
        <v>1440</v>
      </c>
      <c r="W16" s="18" t="str">
        <f t="shared" si="0"/>
        <v xml:space="preserve">['M10', 'M10', 'TUBO 100 X 50 - 1,560 KG/MT.', 'Mt lineal', 7.29, 7.29, 8.3, 8.02, 8.69, 8.39, 'Alvicruz 38  + 15% - 4.716 Kgr./barra - 43.7 $us./barra - 37.50 puesto S.C.', 0.00, 0.00, 0.00, 0.00, 0.00, 0.00, 0.00, 0.00], </v>
      </c>
      <c r="X16" s="18"/>
      <c r="AB16" s="1" t="str">
        <f t="shared" si="1"/>
        <v>['M10', 'M10', 'TUBO 100 X 50 - 1,560 KG/MT.', 0, 'Mt lineal'],</v>
      </c>
    </row>
    <row r="17" spans="1:28" s="1" customFormat="1" ht="28.8" x14ac:dyDescent="0.3">
      <c r="A17" s="73">
        <v>11</v>
      </c>
      <c r="B17" s="11" t="s">
        <v>22</v>
      </c>
      <c r="C17" s="11" t="s">
        <v>22</v>
      </c>
      <c r="D17" s="83" t="s">
        <v>332</v>
      </c>
      <c r="E17" s="37" t="s">
        <v>15</v>
      </c>
      <c r="F17" s="95" t="s">
        <v>527</v>
      </c>
      <c r="G17" s="95" t="s">
        <v>527</v>
      </c>
      <c r="H17" s="96" t="s">
        <v>528</v>
      </c>
      <c r="I17" s="96" t="s">
        <v>529</v>
      </c>
      <c r="J17" s="96" t="s">
        <v>528</v>
      </c>
      <c r="K17" s="96" t="s">
        <v>528</v>
      </c>
      <c r="L17" s="17" t="s">
        <v>228</v>
      </c>
      <c r="M17" s="38" t="s">
        <v>1430</v>
      </c>
      <c r="N17" s="38" t="s">
        <v>1430</v>
      </c>
      <c r="O17" s="38" t="s">
        <v>1430</v>
      </c>
      <c r="P17" s="38" t="s">
        <v>1430</v>
      </c>
      <c r="Q17" s="38" t="s">
        <v>1430</v>
      </c>
      <c r="R17" s="38" t="s">
        <v>1430</v>
      </c>
      <c r="S17" s="38" t="s">
        <v>1430</v>
      </c>
      <c r="T17" s="38" t="s">
        <v>1430</v>
      </c>
      <c r="U17" s="1" t="s">
        <v>1114</v>
      </c>
      <c r="V17" s="6" t="s">
        <v>1441</v>
      </c>
      <c r="W17" s="18" t="str">
        <f t="shared" si="0"/>
        <v xml:space="preserve">['M11', 'M11', 'FELPA', 'Mt lineal', 0.15, 0.15, 0.18, 0.17, 0.18, 0.18, 'Indalum -   -   - ', 0.00, 0.00, 0.00, 0.00, 0.00, 0.00, 0.00, 0.00], </v>
      </c>
      <c r="X17" s="18"/>
      <c r="AB17" s="1" t="str">
        <f t="shared" si="1"/>
        <v>['M11', 'M11', 'FELPA', 0, 'Mt lineal'],</v>
      </c>
    </row>
    <row r="18" spans="1:28" s="1" customFormat="1" ht="28.8" x14ac:dyDescent="0.3">
      <c r="A18" s="73">
        <v>12</v>
      </c>
      <c r="B18" s="11" t="s">
        <v>23</v>
      </c>
      <c r="C18" s="11" t="s">
        <v>23</v>
      </c>
      <c r="D18" s="83" t="s">
        <v>333</v>
      </c>
      <c r="E18" s="37" t="s">
        <v>24</v>
      </c>
      <c r="F18" s="95" t="s">
        <v>530</v>
      </c>
      <c r="G18" s="95" t="s">
        <v>530</v>
      </c>
      <c r="H18" s="96" t="s">
        <v>531</v>
      </c>
      <c r="I18" s="96" t="s">
        <v>531</v>
      </c>
      <c r="J18" s="96" t="s">
        <v>531</v>
      </c>
      <c r="K18" s="96" t="s">
        <v>531</v>
      </c>
      <c r="L18" s="17" t="s">
        <v>229</v>
      </c>
      <c r="M18" s="38" t="s">
        <v>1430</v>
      </c>
      <c r="N18" s="38" t="s">
        <v>1430</v>
      </c>
      <c r="O18" s="38" t="s">
        <v>1430</v>
      </c>
      <c r="P18" s="38" t="s">
        <v>1430</v>
      </c>
      <c r="Q18" s="38" t="s">
        <v>1430</v>
      </c>
      <c r="R18" s="38" t="s">
        <v>1430</v>
      </c>
      <c r="S18" s="38" t="s">
        <v>1430</v>
      </c>
      <c r="T18" s="38" t="s">
        <v>1430</v>
      </c>
      <c r="U18" s="1" t="s">
        <v>1115</v>
      </c>
      <c r="V18" s="6" t="s">
        <v>1442</v>
      </c>
      <c r="W18" s="18" t="str">
        <f t="shared" si="0"/>
        <v xml:space="preserve">['M12', 'M12', 'REMACHE 4 X 10', 'Pza.', 0.03, 0.03, 0.04, 0.04, 0.04, 0.04, 'Perbol -   -   - ', 0.00, 0.00, 0.00, 0.00, 0.00, 0.00, 0.00, 0.00], </v>
      </c>
      <c r="X18" s="18"/>
      <c r="AB18" s="1" t="str">
        <f t="shared" si="1"/>
        <v>['M12', 'M12', 'REMACHE 4 X 10', 0, 'Pza.'],</v>
      </c>
    </row>
    <row r="19" spans="1:28" s="1" customFormat="1" ht="28.8" x14ac:dyDescent="0.3">
      <c r="A19" s="73">
        <v>13</v>
      </c>
      <c r="B19" s="11" t="s">
        <v>25</v>
      </c>
      <c r="C19" s="11" t="s">
        <v>25</v>
      </c>
      <c r="D19" s="83" t="s">
        <v>334</v>
      </c>
      <c r="E19" s="37" t="s">
        <v>24</v>
      </c>
      <c r="F19" s="95" t="s">
        <v>530</v>
      </c>
      <c r="G19" s="95" t="s">
        <v>530</v>
      </c>
      <c r="H19" s="96" t="s">
        <v>531</v>
      </c>
      <c r="I19" s="96" t="s">
        <v>531</v>
      </c>
      <c r="J19" s="96" t="s">
        <v>531</v>
      </c>
      <c r="K19" s="96" t="s">
        <v>531</v>
      </c>
      <c r="L19" s="17" t="s">
        <v>229</v>
      </c>
      <c r="M19" s="38" t="s">
        <v>1430</v>
      </c>
      <c r="N19" s="38" t="s">
        <v>1430</v>
      </c>
      <c r="O19" s="38" t="s">
        <v>1430</v>
      </c>
      <c r="P19" s="38" t="s">
        <v>1430</v>
      </c>
      <c r="Q19" s="38" t="s">
        <v>1430</v>
      </c>
      <c r="R19" s="38" t="s">
        <v>1430</v>
      </c>
      <c r="S19" s="38" t="s">
        <v>1430</v>
      </c>
      <c r="T19" s="38" t="s">
        <v>1430</v>
      </c>
      <c r="U19" s="1" t="s">
        <v>1116</v>
      </c>
      <c r="V19" s="6" t="s">
        <v>1443</v>
      </c>
      <c r="W19" s="18" t="str">
        <f t="shared" si="0"/>
        <v xml:space="preserve">['M13', 'M13', 'TARUGOS NO. 6', 'Pza.', 0.03, 0.03, 0.04, 0.04, 0.04, 0.04, 'Perbol -   -   - ', 0.00, 0.00, 0.00, 0.00, 0.00, 0.00, 0.00, 0.00], </v>
      </c>
      <c r="X19" s="18"/>
      <c r="AB19" s="1" t="str">
        <f t="shared" si="1"/>
        <v>['M13', 'M13', 'TARUGOS NO. 6', 0, 'Pza.'],</v>
      </c>
    </row>
    <row r="20" spans="1:28" s="1" customFormat="1" ht="28.8" x14ac:dyDescent="0.3">
      <c r="A20" s="73">
        <v>14</v>
      </c>
      <c r="B20" s="11" t="s">
        <v>26</v>
      </c>
      <c r="C20" s="11" t="s">
        <v>26</v>
      </c>
      <c r="D20" s="83" t="s">
        <v>335</v>
      </c>
      <c r="E20" s="37" t="s">
        <v>24</v>
      </c>
      <c r="F20" s="95" t="s">
        <v>530</v>
      </c>
      <c r="G20" s="95" t="s">
        <v>530</v>
      </c>
      <c r="H20" s="96" t="s">
        <v>531</v>
      </c>
      <c r="I20" s="96" t="s">
        <v>531</v>
      </c>
      <c r="J20" s="96" t="s">
        <v>531</v>
      </c>
      <c r="K20" s="96" t="s">
        <v>531</v>
      </c>
      <c r="L20" s="17" t="s">
        <v>229</v>
      </c>
      <c r="M20" s="38" t="s">
        <v>1430</v>
      </c>
      <c r="N20" s="38" t="s">
        <v>1430</v>
      </c>
      <c r="O20" s="38" t="s">
        <v>1430</v>
      </c>
      <c r="P20" s="38" t="s">
        <v>1430</v>
      </c>
      <c r="Q20" s="38" t="s">
        <v>1430</v>
      </c>
      <c r="R20" s="38" t="s">
        <v>1430</v>
      </c>
      <c r="S20" s="38" t="s">
        <v>1430</v>
      </c>
      <c r="T20" s="38" t="s">
        <v>1430</v>
      </c>
      <c r="U20" s="1" t="s">
        <v>1117</v>
      </c>
      <c r="V20" s="6" t="s">
        <v>1444</v>
      </c>
      <c r="W20" s="18" t="str">
        <f t="shared" si="0"/>
        <v xml:space="preserve">['M14', 'M14', 'TORNILLOS 8 X 1 1/2 ', 'Pza.', 0.03, 0.03, 0.04, 0.04, 0.04, 0.04, 'Perbol -   -   - ', 0.00, 0.00, 0.00, 0.00, 0.00, 0.00, 0.00, 0.00], </v>
      </c>
      <c r="X20" s="18"/>
      <c r="AB20" s="1" t="str">
        <f t="shared" si="1"/>
        <v>['M14', 'M14', 'TORNILLOS 8 X 1 1/2 ', 0, 'Pza.'],</v>
      </c>
    </row>
    <row r="21" spans="1:28" s="1" customFormat="1" ht="28.8" x14ac:dyDescent="0.3">
      <c r="A21" s="73">
        <v>15</v>
      </c>
      <c r="B21" s="11" t="s">
        <v>27</v>
      </c>
      <c r="C21" s="11" t="s">
        <v>27</v>
      </c>
      <c r="D21" s="83" t="s">
        <v>336</v>
      </c>
      <c r="E21" s="37" t="s">
        <v>24</v>
      </c>
      <c r="F21" s="95" t="s">
        <v>532</v>
      </c>
      <c r="G21" s="95" t="s">
        <v>532</v>
      </c>
      <c r="H21" s="96" t="s">
        <v>530</v>
      </c>
      <c r="I21" s="96" t="s">
        <v>530</v>
      </c>
      <c r="J21" s="96" t="s">
        <v>530</v>
      </c>
      <c r="K21" s="96" t="s">
        <v>530</v>
      </c>
      <c r="L21" s="17" t="s">
        <v>229</v>
      </c>
      <c r="M21" s="38" t="s">
        <v>1430</v>
      </c>
      <c r="N21" s="38" t="s">
        <v>1430</v>
      </c>
      <c r="O21" s="38" t="s">
        <v>1430</v>
      </c>
      <c r="P21" s="38" t="s">
        <v>1430</v>
      </c>
      <c r="Q21" s="38" t="s">
        <v>1430</v>
      </c>
      <c r="R21" s="38" t="s">
        <v>1430</v>
      </c>
      <c r="S21" s="38" t="s">
        <v>1430</v>
      </c>
      <c r="T21" s="38" t="s">
        <v>1430</v>
      </c>
      <c r="U21" s="1" t="s">
        <v>1118</v>
      </c>
      <c r="V21" s="6" t="s">
        <v>1445</v>
      </c>
      <c r="W21" s="18" t="str">
        <f t="shared" si="0"/>
        <v xml:space="preserve">['M15', 'M15', 'TORNILLOS 8 X 1/2 ', 'Pza.', 0.02, 0.02, 0.03, 0.03, 0.03, 0.03, 'Perbol -   -   - ', 0.00, 0.00, 0.00, 0.00, 0.00, 0.00, 0.00, 0.00], </v>
      </c>
      <c r="X21" s="18"/>
      <c r="AB21" s="1" t="str">
        <f t="shared" si="1"/>
        <v>['M15', 'M15', 'TORNILLOS 8 X 1/2 ', 0, 'Pza.'],</v>
      </c>
    </row>
    <row r="22" spans="1:28" s="1" customFormat="1" ht="28.8" x14ac:dyDescent="0.3">
      <c r="A22" s="73">
        <v>16</v>
      </c>
      <c r="B22" s="11" t="s">
        <v>28</v>
      </c>
      <c r="C22" s="11" t="s">
        <v>28</v>
      </c>
      <c r="D22" s="83" t="s">
        <v>1317</v>
      </c>
      <c r="E22" s="37" t="s">
        <v>15</v>
      </c>
      <c r="F22" s="95" t="s">
        <v>533</v>
      </c>
      <c r="G22" s="95" t="s">
        <v>534</v>
      </c>
      <c r="H22" s="96" t="s">
        <v>535</v>
      </c>
      <c r="I22" s="96" t="s">
        <v>536</v>
      </c>
      <c r="J22" s="96" t="s">
        <v>537</v>
      </c>
      <c r="K22" s="96" t="s">
        <v>999</v>
      </c>
      <c r="L22" s="14" t="s">
        <v>230</v>
      </c>
      <c r="M22" s="38" t="s">
        <v>1430</v>
      </c>
      <c r="N22" s="38" t="s">
        <v>1430</v>
      </c>
      <c r="O22" s="38" t="s">
        <v>1430</v>
      </c>
      <c r="P22" s="38" t="s">
        <v>1430</v>
      </c>
      <c r="Q22" s="38" t="s">
        <v>1430</v>
      </c>
      <c r="R22" s="38" t="s">
        <v>1430</v>
      </c>
      <c r="S22" s="38" t="s">
        <v>1430</v>
      </c>
      <c r="T22" s="38" t="s">
        <v>1430</v>
      </c>
      <c r="U22" s="1" t="s">
        <v>1119</v>
      </c>
      <c r="V22" s="6" t="s">
        <v>1446</v>
      </c>
      <c r="W22" s="18" t="str">
        <f t="shared" si="0"/>
        <v xml:space="preserve">['M16', 'M16', 'TUBO GALVANIZADO DE 4 Pulg. ', 'Mt lineal', 26.25, 25.2, 29.91, 27.72, 31.27, 28.98, 'Las Lomas ( 150+5%uniones) -   -   - ', 0.00, 0.00, 0.00, 0.00, 0.00, 0.00, 0.00, 0.00], </v>
      </c>
      <c r="X22" s="18"/>
      <c r="AB22" s="1" t="str">
        <f t="shared" si="1"/>
        <v>['M16', 'M16', 'TUBO GALVANIZADO DE 4 Pulg. ', 0, 'Mt lineal'],</v>
      </c>
    </row>
    <row r="23" spans="1:28" s="1" customFormat="1" ht="28.8" x14ac:dyDescent="0.3">
      <c r="A23" s="73">
        <v>17</v>
      </c>
      <c r="B23" s="11" t="s">
        <v>30</v>
      </c>
      <c r="C23" s="11" t="s">
        <v>30</v>
      </c>
      <c r="D23" s="82" t="s">
        <v>338</v>
      </c>
      <c r="E23" s="35" t="s">
        <v>31</v>
      </c>
      <c r="F23" s="97" t="s">
        <v>538</v>
      </c>
      <c r="G23" s="97" t="s">
        <v>538</v>
      </c>
      <c r="H23" s="94" t="s">
        <v>539</v>
      </c>
      <c r="I23" s="94" t="s">
        <v>540</v>
      </c>
      <c r="J23" s="94" t="s">
        <v>541</v>
      </c>
      <c r="K23" s="94" t="s">
        <v>889</v>
      </c>
      <c r="L23" s="14" t="s">
        <v>1376</v>
      </c>
      <c r="M23" s="36" t="s">
        <v>1430</v>
      </c>
      <c r="N23" s="36" t="s">
        <v>1430</v>
      </c>
      <c r="O23" s="36" t="s">
        <v>1430</v>
      </c>
      <c r="P23" s="36" t="s">
        <v>1430</v>
      </c>
      <c r="Q23" s="36" t="s">
        <v>1430</v>
      </c>
      <c r="R23" s="36" t="s">
        <v>1430</v>
      </c>
      <c r="S23" s="36" t="s">
        <v>1430</v>
      </c>
      <c r="T23" s="36" t="s">
        <v>1430</v>
      </c>
      <c r="U23" s="1" t="s">
        <v>1120</v>
      </c>
      <c r="V23" s="15" t="s">
        <v>1447</v>
      </c>
      <c r="W23" s="18" t="str">
        <f t="shared" si="0"/>
        <v xml:space="preserve">['V1', 'V1', 'VIDRIO TEMPLADO 10MM INCOLORO', 'Mt²', 31.5, 31.5, 35.89, 34.65, 37.52, 36.23, 'MURANO 26 + 5%desp. - cbba - 180 - 25.83 - santa puej - 209.1 - 30', 0.00, 0.00, 0.00, 0.00, 0.00, 0.00, 0.00, 0.00], </v>
      </c>
      <c r="X23" s="18"/>
      <c r="AB23" s="1" t="str">
        <f t="shared" si="1"/>
        <v>['V1', 'V1', 'VIDRIO TEMPLADO 10MM INCOLORO', 0, 'Mt²'],</v>
      </c>
    </row>
    <row r="24" spans="1:28" s="1" customFormat="1" ht="28.8" x14ac:dyDescent="0.3">
      <c r="A24" s="73">
        <v>18</v>
      </c>
      <c r="B24" s="11" t="s">
        <v>32</v>
      </c>
      <c r="C24" s="11" t="s">
        <v>32</v>
      </c>
      <c r="D24" s="82" t="s">
        <v>339</v>
      </c>
      <c r="E24" s="35" t="s">
        <v>31</v>
      </c>
      <c r="F24" s="97" t="s">
        <v>542</v>
      </c>
      <c r="G24" s="97" t="s">
        <v>542</v>
      </c>
      <c r="H24" s="94" t="s">
        <v>543</v>
      </c>
      <c r="I24" s="94" t="s">
        <v>544</v>
      </c>
      <c r="J24" s="94" t="s">
        <v>545</v>
      </c>
      <c r="K24" s="94" t="s">
        <v>1000</v>
      </c>
      <c r="L24" s="14" t="s">
        <v>1377</v>
      </c>
      <c r="M24" s="36" t="s">
        <v>1430</v>
      </c>
      <c r="N24" s="36" t="s">
        <v>1430</v>
      </c>
      <c r="O24" s="36" t="s">
        <v>1430</v>
      </c>
      <c r="P24" s="36" t="s">
        <v>1430</v>
      </c>
      <c r="Q24" s="36" t="s">
        <v>1430</v>
      </c>
      <c r="R24" s="36" t="s">
        <v>1430</v>
      </c>
      <c r="S24" s="36" t="s">
        <v>1430</v>
      </c>
      <c r="T24" s="36" t="s">
        <v>1430</v>
      </c>
      <c r="U24" s="1" t="s">
        <v>1121</v>
      </c>
      <c r="V24" s="15" t="s">
        <v>1448</v>
      </c>
      <c r="W24" s="18" t="str">
        <f t="shared" si="0"/>
        <v xml:space="preserve">['V2', 'V2', 'VIDRIO TEMPLADO 8MM INCOLORO', 'Mt²', 30.45, 30.45, 34.7, 33.5, 36.27, 35.02, 'MURANO 25 + 5% desp - cbba - 175 - 25.11 - santa puej - 202.13 - 29', 0.00, 0.00, 0.00, 0.00, 0.00, 0.00, 0.00, 0.00], </v>
      </c>
      <c r="X24" s="18"/>
      <c r="AB24" s="1" t="str">
        <f t="shared" si="1"/>
        <v>['V2', 'V2', 'VIDRIO TEMPLADO 8MM INCOLORO', 0, 'Mt²'],</v>
      </c>
    </row>
    <row r="25" spans="1:28" s="1" customFormat="1" ht="28.8" x14ac:dyDescent="0.3">
      <c r="A25" s="73">
        <v>19</v>
      </c>
      <c r="B25" s="11" t="s">
        <v>33</v>
      </c>
      <c r="C25" s="11" t="s">
        <v>33</v>
      </c>
      <c r="D25" s="83" t="s">
        <v>340</v>
      </c>
      <c r="E25" s="37" t="s">
        <v>31</v>
      </c>
      <c r="F25" s="98">
        <v>26</v>
      </c>
      <c r="G25" s="98">
        <v>25</v>
      </c>
      <c r="H25" s="96" t="s">
        <v>546</v>
      </c>
      <c r="I25" s="96" t="s">
        <v>547</v>
      </c>
      <c r="J25" s="96" t="s">
        <v>548</v>
      </c>
      <c r="K25" s="96" t="s">
        <v>1001</v>
      </c>
      <c r="L25" s="17" t="s">
        <v>233</v>
      </c>
      <c r="M25" s="38" t="s">
        <v>1430</v>
      </c>
      <c r="N25" s="38" t="s">
        <v>1430</v>
      </c>
      <c r="O25" s="38" t="s">
        <v>1430</v>
      </c>
      <c r="P25" s="38" t="s">
        <v>1430</v>
      </c>
      <c r="Q25" s="38" t="s">
        <v>1430</v>
      </c>
      <c r="R25" s="38" t="s">
        <v>1430</v>
      </c>
      <c r="S25" s="38" t="s">
        <v>1430</v>
      </c>
      <c r="T25" s="38" t="s">
        <v>1430</v>
      </c>
      <c r="U25" s="1" t="s">
        <v>1122</v>
      </c>
      <c r="V25" s="6" t="s">
        <v>1449</v>
      </c>
      <c r="W25" s="18" t="str">
        <f t="shared" si="0"/>
        <v xml:space="preserve">['V3', 'V3', 'VIDRIO TEMPLADO 6MM INCOLORO', 'Mt²', 26, 25, 29.63, 27.5, 30.97, 28.75, 'Revibol - cbba -  -  - santa puej -  - ', 0.00, 0.00, 0.00, 0.00, 0.00, 0.00, 0.00, 0.00], </v>
      </c>
      <c r="X25" s="18"/>
      <c r="AB25" s="1" t="str">
        <f t="shared" si="1"/>
        <v>['V3', 'V3', 'VIDRIO TEMPLADO 6MM INCOLORO', 0, 'Mt²'],</v>
      </c>
    </row>
    <row r="26" spans="1:28" s="1" customFormat="1" ht="28.8" x14ac:dyDescent="0.3">
      <c r="A26" s="73">
        <v>20</v>
      </c>
      <c r="B26" s="11" t="s">
        <v>34</v>
      </c>
      <c r="C26" s="11" t="s">
        <v>34</v>
      </c>
      <c r="D26" s="83" t="s">
        <v>341</v>
      </c>
      <c r="E26" s="37" t="s">
        <v>31</v>
      </c>
      <c r="F26" s="98">
        <v>24</v>
      </c>
      <c r="G26" s="98">
        <v>24</v>
      </c>
      <c r="H26" s="96" t="s">
        <v>549</v>
      </c>
      <c r="I26" s="96" t="s">
        <v>550</v>
      </c>
      <c r="J26" s="96" t="s">
        <v>551</v>
      </c>
      <c r="K26" s="96" t="s">
        <v>739</v>
      </c>
      <c r="L26" s="17" t="s">
        <v>233</v>
      </c>
      <c r="M26" s="38" t="s">
        <v>1430</v>
      </c>
      <c r="N26" s="38" t="s">
        <v>1430</v>
      </c>
      <c r="O26" s="38" t="s">
        <v>1430</v>
      </c>
      <c r="P26" s="38" t="s">
        <v>1430</v>
      </c>
      <c r="Q26" s="38" t="s">
        <v>1430</v>
      </c>
      <c r="R26" s="38" t="s">
        <v>1430</v>
      </c>
      <c r="S26" s="38" t="s">
        <v>1430</v>
      </c>
      <c r="T26" s="38" t="s">
        <v>1430</v>
      </c>
      <c r="U26" s="1" t="s">
        <v>1123</v>
      </c>
      <c r="V26" s="6" t="s">
        <v>1450</v>
      </c>
      <c r="W26" s="18" t="str">
        <f t="shared" si="0"/>
        <v xml:space="preserve">['V4', 'V4', 'VIDRIO TEMPLADO 5MM INCOLORO', 'Mt²', 24, 24, 27.35, 26.4, 28.59, 27.6, 'Revibol - cbba -  -  - santa puej -  - ', 0.00, 0.00, 0.00, 0.00, 0.00, 0.00, 0.00, 0.00], </v>
      </c>
      <c r="X26" s="18"/>
      <c r="AB26" s="1" t="str">
        <f t="shared" si="1"/>
        <v>['V4', 'V4', 'VIDRIO TEMPLADO 5MM INCOLORO', 0, 'Mt²'],</v>
      </c>
    </row>
    <row r="27" spans="1:28" s="1" customFormat="1" ht="28.8" x14ac:dyDescent="0.3">
      <c r="A27" s="73">
        <v>21</v>
      </c>
      <c r="B27" s="11" t="s">
        <v>35</v>
      </c>
      <c r="C27" s="11" t="s">
        <v>35</v>
      </c>
      <c r="D27" s="83" t="s">
        <v>342</v>
      </c>
      <c r="E27" s="37" t="s">
        <v>31</v>
      </c>
      <c r="F27" s="98">
        <v>21</v>
      </c>
      <c r="G27" s="98">
        <v>21</v>
      </c>
      <c r="H27" s="96" t="s">
        <v>552</v>
      </c>
      <c r="I27" s="96" t="s">
        <v>553</v>
      </c>
      <c r="J27" s="96" t="s">
        <v>554</v>
      </c>
      <c r="K27" s="96" t="s">
        <v>1002</v>
      </c>
      <c r="L27" s="17" t="s">
        <v>233</v>
      </c>
      <c r="M27" s="38" t="s">
        <v>1430</v>
      </c>
      <c r="N27" s="38" t="s">
        <v>1430</v>
      </c>
      <c r="O27" s="38" t="s">
        <v>1430</v>
      </c>
      <c r="P27" s="38" t="s">
        <v>1430</v>
      </c>
      <c r="Q27" s="38" t="s">
        <v>1430</v>
      </c>
      <c r="R27" s="38" t="s">
        <v>1430</v>
      </c>
      <c r="S27" s="38" t="s">
        <v>1430</v>
      </c>
      <c r="T27" s="38" t="s">
        <v>1430</v>
      </c>
      <c r="U27" s="1" t="s">
        <v>1124</v>
      </c>
      <c r="V27" s="6" t="s">
        <v>1451</v>
      </c>
      <c r="W27" s="18" t="str">
        <f t="shared" si="0"/>
        <v xml:space="preserve">['V5', 'V5', 'VIDRIO TEMPLADO 4MM INCOLORO', 'Mt²', 21, 21, 23.93, 23.1, 25.02, 24.15, 'Revibol - cbba -  -  - santa puej -  - ', 0.00, 0.00, 0.00, 0.00, 0.00, 0.00, 0.00, 0.00], </v>
      </c>
      <c r="X27" s="18"/>
      <c r="AB27" s="1" t="str">
        <f t="shared" si="1"/>
        <v>['V5', 'V5', 'VIDRIO TEMPLADO 4MM INCOLORO', 0, 'Mt²'],</v>
      </c>
    </row>
    <row r="28" spans="1:28" s="1" customFormat="1" ht="28.8" x14ac:dyDescent="0.3">
      <c r="A28" s="73">
        <v>22</v>
      </c>
      <c r="B28" s="11" t="s">
        <v>36</v>
      </c>
      <c r="C28" s="11" t="s">
        <v>36</v>
      </c>
      <c r="D28" s="82" t="s">
        <v>343</v>
      </c>
      <c r="E28" s="35" t="s">
        <v>31</v>
      </c>
      <c r="F28" s="97" t="s">
        <v>555</v>
      </c>
      <c r="G28" s="97" t="s">
        <v>555</v>
      </c>
      <c r="H28" s="94" t="s">
        <v>556</v>
      </c>
      <c r="I28" s="94" t="s">
        <v>557</v>
      </c>
      <c r="J28" s="94" t="s">
        <v>558</v>
      </c>
      <c r="K28" s="94" t="s">
        <v>1003</v>
      </c>
      <c r="L28" s="14" t="s">
        <v>1378</v>
      </c>
      <c r="M28" s="36" t="s">
        <v>1430</v>
      </c>
      <c r="N28" s="36" t="s">
        <v>1430</v>
      </c>
      <c r="O28" s="36" t="s">
        <v>1430</v>
      </c>
      <c r="P28" s="36" t="s">
        <v>1430</v>
      </c>
      <c r="Q28" s="36" t="s">
        <v>1430</v>
      </c>
      <c r="R28" s="36" t="s">
        <v>1430</v>
      </c>
      <c r="S28" s="36" t="s">
        <v>1430</v>
      </c>
      <c r="T28" s="36" t="s">
        <v>1430</v>
      </c>
      <c r="U28" s="1" t="s">
        <v>1125</v>
      </c>
      <c r="V28" s="15" t="s">
        <v>1452</v>
      </c>
      <c r="W28" s="18" t="str">
        <f t="shared" si="0"/>
        <v xml:space="preserve">['V6', 'V6', 'VIDRIO TEMPLADO 10MM COLOR', 'Mt²', 40.95, 40.95, 46.66, 45.05, 48.78, 47.1, 'MURANO 39 + 5% desp. - cbba -  - 38.7931034482759 - santa puej - 270 - ', 0.00, 0.00, 0.00, 0.00, 0.00, 0.00, 0.00, 0.00], </v>
      </c>
      <c r="X28" s="18"/>
      <c r="AB28" s="1" t="str">
        <f t="shared" si="1"/>
        <v>['V6', 'V6', 'VIDRIO TEMPLADO 10MM COLOR', 0, 'Mt²'],</v>
      </c>
    </row>
    <row r="29" spans="1:28" s="1" customFormat="1" ht="28.8" x14ac:dyDescent="0.3">
      <c r="A29" s="73">
        <v>23</v>
      </c>
      <c r="B29" s="11" t="s">
        <v>37</v>
      </c>
      <c r="C29" s="11" t="s">
        <v>37</v>
      </c>
      <c r="D29" s="82" t="s">
        <v>344</v>
      </c>
      <c r="E29" s="35" t="s">
        <v>31</v>
      </c>
      <c r="F29" s="97" t="s">
        <v>559</v>
      </c>
      <c r="G29" s="97" t="s">
        <v>559</v>
      </c>
      <c r="H29" s="94" t="s">
        <v>560</v>
      </c>
      <c r="I29" s="94" t="s">
        <v>561</v>
      </c>
      <c r="J29" s="94" t="s">
        <v>562</v>
      </c>
      <c r="K29" s="94" t="s">
        <v>1004</v>
      </c>
      <c r="L29" s="14" t="s">
        <v>1379</v>
      </c>
      <c r="M29" s="36" t="s">
        <v>1430</v>
      </c>
      <c r="N29" s="36" t="s">
        <v>1430</v>
      </c>
      <c r="O29" s="36" t="s">
        <v>1430</v>
      </c>
      <c r="P29" s="36" t="s">
        <v>1430</v>
      </c>
      <c r="Q29" s="36" t="s">
        <v>1430</v>
      </c>
      <c r="R29" s="36" t="s">
        <v>1430</v>
      </c>
      <c r="S29" s="36" t="s">
        <v>1430</v>
      </c>
      <c r="T29" s="36" t="s">
        <v>1430</v>
      </c>
      <c r="U29" s="1" t="s">
        <v>1126</v>
      </c>
      <c r="V29" s="15" t="s">
        <v>1453</v>
      </c>
      <c r="W29" s="18" t="str">
        <f t="shared" si="0"/>
        <v xml:space="preserve">['V7', 'V7', 'VIDRIO TEMPLADO 8MM COLOR', 'Mt²', 39.9, 39.9, 45.46, 43.89, 47.53, 45.89, 'MURANO 38 + 5% desp. - cbba -  - 37.3563218390805 - santa puej - 260 - ', 0.00, 0.00, 0.00, 0.00, 0.00, 0.00, 0.00, 0.00], </v>
      </c>
      <c r="X29" s="18"/>
      <c r="AB29" s="1" t="str">
        <f t="shared" si="1"/>
        <v>['V7', 'V7', 'VIDRIO TEMPLADO 8MM COLOR', 0, 'Mt²'],</v>
      </c>
    </row>
    <row r="30" spans="1:28" s="1" customFormat="1" ht="28.8" x14ac:dyDescent="0.3">
      <c r="A30" s="73">
        <v>24</v>
      </c>
      <c r="B30" s="11" t="s">
        <v>38</v>
      </c>
      <c r="C30" s="11" t="s">
        <v>38</v>
      </c>
      <c r="D30" s="83" t="s">
        <v>345</v>
      </c>
      <c r="E30" s="37" t="s">
        <v>31</v>
      </c>
      <c r="F30" s="98">
        <v>42</v>
      </c>
      <c r="G30" s="98">
        <v>40</v>
      </c>
      <c r="H30" s="96" t="s">
        <v>563</v>
      </c>
      <c r="I30" s="96">
        <v>44</v>
      </c>
      <c r="J30" s="96" t="s">
        <v>564</v>
      </c>
      <c r="K30" s="96">
        <v>46</v>
      </c>
      <c r="L30" s="17" t="s">
        <v>233</v>
      </c>
      <c r="M30" s="38" t="s">
        <v>1430</v>
      </c>
      <c r="N30" s="38" t="s">
        <v>1430</v>
      </c>
      <c r="O30" s="38" t="s">
        <v>1430</v>
      </c>
      <c r="P30" s="38" t="s">
        <v>1430</v>
      </c>
      <c r="Q30" s="38" t="s">
        <v>1430</v>
      </c>
      <c r="R30" s="38" t="s">
        <v>1430</v>
      </c>
      <c r="S30" s="38" t="s">
        <v>1430</v>
      </c>
      <c r="T30" s="38" t="s">
        <v>1430</v>
      </c>
      <c r="U30" s="1" t="s">
        <v>1127</v>
      </c>
      <c r="V30" s="6" t="s">
        <v>1454</v>
      </c>
      <c r="W30" s="18" t="str">
        <f t="shared" si="0"/>
        <v xml:space="preserve">['V8', 'V8', 'VIDRIO TEMPLADO 6MM COLOR', 'Mt²', 42, 40, 47.85, 44, 50.03, 46, 'Revibol - cbba -  -  - santa puej -  - ', 0.00, 0.00, 0.00, 0.00, 0.00, 0.00, 0.00, 0.00], </v>
      </c>
      <c r="X30" s="18"/>
      <c r="AB30" s="1" t="str">
        <f t="shared" si="1"/>
        <v>['V8', 'V8', 'VIDRIO TEMPLADO 6MM COLOR', 0, 'Mt²'],</v>
      </c>
    </row>
    <row r="31" spans="1:28" s="1" customFormat="1" ht="28.8" x14ac:dyDescent="0.3">
      <c r="A31" s="73">
        <v>25</v>
      </c>
      <c r="B31" s="11" t="s">
        <v>39</v>
      </c>
      <c r="C31" s="11" t="s">
        <v>39</v>
      </c>
      <c r="D31" s="83" t="s">
        <v>346</v>
      </c>
      <c r="E31" s="37" t="s">
        <v>31</v>
      </c>
      <c r="F31" s="95">
        <v>40</v>
      </c>
      <c r="G31" s="95">
        <v>38</v>
      </c>
      <c r="H31" s="96" t="s">
        <v>565</v>
      </c>
      <c r="I31" s="96" t="s">
        <v>566</v>
      </c>
      <c r="J31" s="96" t="s">
        <v>567</v>
      </c>
      <c r="K31" s="96" t="s">
        <v>1005</v>
      </c>
      <c r="L31" s="17" t="s">
        <v>233</v>
      </c>
      <c r="M31" s="38" t="s">
        <v>1430</v>
      </c>
      <c r="N31" s="38" t="s">
        <v>1430</v>
      </c>
      <c r="O31" s="38" t="s">
        <v>1430</v>
      </c>
      <c r="P31" s="38" t="s">
        <v>1430</v>
      </c>
      <c r="Q31" s="38" t="s">
        <v>1430</v>
      </c>
      <c r="R31" s="38" t="s">
        <v>1430</v>
      </c>
      <c r="S31" s="38" t="s">
        <v>1430</v>
      </c>
      <c r="T31" s="38" t="s">
        <v>1430</v>
      </c>
      <c r="U31" s="1" t="s">
        <v>1128</v>
      </c>
      <c r="V31" s="6" t="s">
        <v>1455</v>
      </c>
      <c r="W31" s="18" t="str">
        <f t="shared" si="0"/>
        <v xml:space="preserve">['V9', 'V9', 'VIDRIO TEMPLADO 5MM COLOR', 'Mt²', 40, 38, 45.58, 41.8, 47.65, 43.7, 'Revibol - cbba -  -  - santa puej -  - ', 0.00, 0.00, 0.00, 0.00, 0.00, 0.00, 0.00, 0.00], </v>
      </c>
      <c r="X31" s="18"/>
      <c r="AB31" s="1" t="str">
        <f t="shared" si="1"/>
        <v>['V9', 'V9', 'VIDRIO TEMPLADO 5MM COLOR', 0, 'Mt²'],</v>
      </c>
    </row>
    <row r="32" spans="1:28" s="1" customFormat="1" ht="28.8" x14ac:dyDescent="0.3">
      <c r="A32" s="73">
        <v>26</v>
      </c>
      <c r="B32" s="11" t="s">
        <v>40</v>
      </c>
      <c r="C32" s="11" t="s">
        <v>40</v>
      </c>
      <c r="D32" s="83" t="s">
        <v>347</v>
      </c>
      <c r="E32" s="37" t="s">
        <v>31</v>
      </c>
      <c r="F32" s="95">
        <v>38</v>
      </c>
      <c r="G32" s="95">
        <v>36</v>
      </c>
      <c r="H32" s="96" t="s">
        <v>568</v>
      </c>
      <c r="I32" s="96" t="s">
        <v>569</v>
      </c>
      <c r="J32" s="96" t="s">
        <v>570</v>
      </c>
      <c r="K32" s="96" t="s">
        <v>1006</v>
      </c>
      <c r="L32" s="17" t="s">
        <v>233</v>
      </c>
      <c r="M32" s="38" t="s">
        <v>1430</v>
      </c>
      <c r="N32" s="38" t="s">
        <v>1430</v>
      </c>
      <c r="O32" s="38" t="s">
        <v>1430</v>
      </c>
      <c r="P32" s="38" t="s">
        <v>1430</v>
      </c>
      <c r="Q32" s="38" t="s">
        <v>1430</v>
      </c>
      <c r="R32" s="38" t="s">
        <v>1430</v>
      </c>
      <c r="S32" s="38" t="s">
        <v>1430</v>
      </c>
      <c r="T32" s="38" t="s">
        <v>1430</v>
      </c>
      <c r="U32" s="1" t="s">
        <v>1129</v>
      </c>
      <c r="V32" s="6" t="s">
        <v>1456</v>
      </c>
      <c r="W32" s="18" t="str">
        <f t="shared" si="0"/>
        <v xml:space="preserve">['V10', 'V10', 'VIDRIO TEMPLADO 4MM COLOR', 'Mt²', 38, 36, 43.3, 39.6, 45.27, 41.4, 'Revibol - cbba -  -  - santa puej -  - ', 0.00, 0.00, 0.00, 0.00, 0.00, 0.00, 0.00, 0.00], </v>
      </c>
      <c r="X32" s="18"/>
      <c r="AB32" s="1" t="str">
        <f t="shared" si="1"/>
        <v>['V10', 'V10', 'VIDRIO TEMPLADO 4MM COLOR', 0, 'Mt²'],</v>
      </c>
    </row>
    <row r="33" spans="1:28" s="1" customFormat="1" ht="28.8" x14ac:dyDescent="0.3">
      <c r="A33" s="73">
        <v>27</v>
      </c>
      <c r="B33" s="11" t="s">
        <v>41</v>
      </c>
      <c r="C33" s="11" t="s">
        <v>41</v>
      </c>
      <c r="D33" s="83" t="s">
        <v>348</v>
      </c>
      <c r="E33" s="37" t="s">
        <v>31</v>
      </c>
      <c r="F33" s="95">
        <v>44</v>
      </c>
      <c r="G33" s="95">
        <v>44</v>
      </c>
      <c r="H33" s="96" t="s">
        <v>571</v>
      </c>
      <c r="I33" s="96" t="s">
        <v>572</v>
      </c>
      <c r="J33" s="96" t="s">
        <v>573</v>
      </c>
      <c r="K33" s="96" t="s">
        <v>574</v>
      </c>
      <c r="L33" s="17" t="s">
        <v>233</v>
      </c>
      <c r="M33" s="38" t="s">
        <v>1430</v>
      </c>
      <c r="N33" s="38" t="s">
        <v>1430</v>
      </c>
      <c r="O33" s="38" t="s">
        <v>1430</v>
      </c>
      <c r="P33" s="38" t="s">
        <v>1430</v>
      </c>
      <c r="Q33" s="38" t="s">
        <v>1430</v>
      </c>
      <c r="R33" s="38" t="s">
        <v>1430</v>
      </c>
      <c r="S33" s="38" t="s">
        <v>1430</v>
      </c>
      <c r="T33" s="38" t="s">
        <v>1430</v>
      </c>
      <c r="U33" s="1" t="s">
        <v>1130</v>
      </c>
      <c r="V33" s="6" t="s">
        <v>1457</v>
      </c>
      <c r="W33" s="18" t="str">
        <f t="shared" si="0"/>
        <v xml:space="preserve">['V11', 'V11', 'VIDRIO TEMPLADO CATEDRAL 10MM INCOLORO', 'Mt²', 44, 44, 50.13, 48.4, 52.41, 50.6, 'Revibol - cbba -  -  - santa puej -  - ', 0.00, 0.00, 0.00, 0.00, 0.00, 0.00, 0.00, 0.00], </v>
      </c>
      <c r="X33" s="18"/>
      <c r="AB33" s="1" t="str">
        <f t="shared" si="1"/>
        <v>['V11', 'V11', 'VIDRIO TEMPLADO CATEDRAL 10MM INCOLORO', 0, 'Mt²'],</v>
      </c>
    </row>
    <row r="34" spans="1:28" s="1" customFormat="1" ht="28.8" x14ac:dyDescent="0.3">
      <c r="A34" s="73">
        <v>28</v>
      </c>
      <c r="B34" s="11" t="s">
        <v>42</v>
      </c>
      <c r="C34" s="11" t="s">
        <v>42</v>
      </c>
      <c r="D34" s="83" t="s">
        <v>349</v>
      </c>
      <c r="E34" s="37" t="s">
        <v>31</v>
      </c>
      <c r="F34" s="95">
        <v>46</v>
      </c>
      <c r="G34" s="95">
        <v>46</v>
      </c>
      <c r="H34" s="96" t="s">
        <v>573</v>
      </c>
      <c r="I34" s="96" t="s">
        <v>574</v>
      </c>
      <c r="J34" s="96" t="s">
        <v>575</v>
      </c>
      <c r="K34" s="96" t="s">
        <v>1007</v>
      </c>
      <c r="L34" s="17" t="s">
        <v>236</v>
      </c>
      <c r="M34" s="38" t="s">
        <v>1430</v>
      </c>
      <c r="N34" s="38" t="s">
        <v>1430</v>
      </c>
      <c r="O34" s="38" t="s">
        <v>1430</v>
      </c>
      <c r="P34" s="38" t="s">
        <v>1430</v>
      </c>
      <c r="Q34" s="38" t="s">
        <v>1430</v>
      </c>
      <c r="R34" s="38" t="s">
        <v>1430</v>
      </c>
      <c r="S34" s="38" t="s">
        <v>1430</v>
      </c>
      <c r="T34" s="38" t="s">
        <v>1430</v>
      </c>
      <c r="U34" s="1" t="s">
        <v>1131</v>
      </c>
      <c r="V34" s="6" t="s">
        <v>1458</v>
      </c>
      <c r="W34" s="18" t="str">
        <f t="shared" si="0"/>
        <v xml:space="preserve">['V12', 'V12', 'VIDRIO TEMPLADO CATEDRAL 10MM COLOR', 'Mt²', 46, 46, 52.41, 50.6, 54.79, 52.9, 'Revibol - cbba -  -  - santa puej -  - nuevos', 0.00, 0.00, 0.00, 0.00, 0.00, 0.00, 0.00, 0.00], </v>
      </c>
      <c r="X34" s="18"/>
      <c r="AB34" s="1" t="str">
        <f t="shared" si="1"/>
        <v>['V12', 'V12', 'VIDRIO TEMPLADO CATEDRAL 10MM COLOR', 0, 'Mt²'],</v>
      </c>
    </row>
    <row r="35" spans="1:28" s="1" customFormat="1" ht="40.200000000000003" x14ac:dyDescent="0.3">
      <c r="A35" s="73">
        <v>29</v>
      </c>
      <c r="B35" s="11" t="s">
        <v>43</v>
      </c>
      <c r="C35" s="11" t="s">
        <v>43</v>
      </c>
      <c r="D35" s="82" t="s">
        <v>350</v>
      </c>
      <c r="E35" s="35" t="s">
        <v>15</v>
      </c>
      <c r="F35" s="93" t="s">
        <v>958</v>
      </c>
      <c r="G35" s="93" t="s">
        <v>958</v>
      </c>
      <c r="H35" s="94" t="s">
        <v>576</v>
      </c>
      <c r="I35" s="94" t="s">
        <v>577</v>
      </c>
      <c r="J35" s="94" t="s">
        <v>1008</v>
      </c>
      <c r="K35" s="94" t="s">
        <v>963</v>
      </c>
      <c r="L35" s="14" t="s">
        <v>1380</v>
      </c>
      <c r="M35" s="36" t="s">
        <v>1430</v>
      </c>
      <c r="N35" s="36" t="s">
        <v>1430</v>
      </c>
      <c r="O35" s="36" t="s">
        <v>1430</v>
      </c>
      <c r="P35" s="36" t="s">
        <v>1430</v>
      </c>
      <c r="Q35" s="36" t="s">
        <v>1430</v>
      </c>
      <c r="R35" s="36" t="s">
        <v>1430</v>
      </c>
      <c r="S35" s="36" t="s">
        <v>1430</v>
      </c>
      <c r="T35" s="36" t="s">
        <v>1430</v>
      </c>
      <c r="U35" s="1" t="s">
        <v>1132</v>
      </c>
      <c r="V35" s="15" t="s">
        <v>1459</v>
      </c>
      <c r="W35" s="18" t="str">
        <f t="shared" si="0"/>
        <v xml:space="preserve">['V13', 'V13', 'CABEZAL, TAPA, GUIA, TAPA-GUIA 1.998 KG/MT', 'Mt lineal', 9.48, 9.48, 10.8, 10.43, 11.3, 10.91, 'Alvicruz 49.45+ 15%desp. - cbba - 11.988 - Kgr./juego - santa puej - 56.8675 - $us./barra47.45 puesto S.C.', 0.00, 0.00, 0.00, 0.00, 0.00, 0.00, 0.00, 0.00], </v>
      </c>
      <c r="X35" s="18"/>
      <c r="AB35" s="1" t="str">
        <f t="shared" si="1"/>
        <v>['V13', 'V13', 'CABEZAL, TAPA, GUIA, TAPA-GUIA 1.998 KG/MT', 0, 'Mt lineal'],</v>
      </c>
    </row>
    <row r="36" spans="1:28" s="1" customFormat="1" ht="40.200000000000003" x14ac:dyDescent="0.3">
      <c r="A36" s="73">
        <v>30</v>
      </c>
      <c r="B36" s="11" t="s">
        <v>44</v>
      </c>
      <c r="C36" s="11" t="s">
        <v>44</v>
      </c>
      <c r="D36" s="82" t="s">
        <v>351</v>
      </c>
      <c r="E36" s="35" t="s">
        <v>45</v>
      </c>
      <c r="F36" s="93" t="s">
        <v>959</v>
      </c>
      <c r="G36" s="93" t="s">
        <v>959</v>
      </c>
      <c r="H36" s="94" t="s">
        <v>578</v>
      </c>
      <c r="I36" s="94" t="s">
        <v>579</v>
      </c>
      <c r="J36" s="94" t="s">
        <v>580</v>
      </c>
      <c r="K36" s="94" t="s">
        <v>1009</v>
      </c>
      <c r="L36" s="14" t="s">
        <v>1381</v>
      </c>
      <c r="M36" s="36" t="s">
        <v>1430</v>
      </c>
      <c r="N36" s="36" t="s">
        <v>1430</v>
      </c>
      <c r="O36" s="36" t="s">
        <v>1430</v>
      </c>
      <c r="P36" s="36" t="s">
        <v>1430</v>
      </c>
      <c r="Q36" s="36" t="s">
        <v>1430</v>
      </c>
      <c r="R36" s="36" t="s">
        <v>1430</v>
      </c>
      <c r="S36" s="36" t="s">
        <v>1430</v>
      </c>
      <c r="T36" s="36" t="s">
        <v>1430</v>
      </c>
      <c r="U36" s="1" t="s">
        <v>1133</v>
      </c>
      <c r="V36" s="15" t="s">
        <v>1460</v>
      </c>
      <c r="W36" s="18" t="str">
        <f t="shared" si="0"/>
        <v xml:space="preserve">['V14', 'V14', 'VEDAPRES 001 - H DE ALUMINIO', 'Barra', 8.63, 8.63, 9.83, 9.49, 10.28, 9.93, 'Alvicruz 7.25+ 15%desp. - cbba - 1.542 - Kgr./barra - santa puej - 8.625 - $us./barra7.15 puesto S.C.', 0.00, 0.00, 0.00, 0.00, 0.00, 0.00, 0.00, 0.00], </v>
      </c>
      <c r="X36" s="18"/>
      <c r="AB36" s="1" t="str">
        <f t="shared" si="1"/>
        <v>['V14', 'V14', 'VEDAPRES 001 - H DE ALUMINIO', 0, 'Barra'],</v>
      </c>
    </row>
    <row r="37" spans="1:28" s="1" customFormat="1" ht="40.200000000000003" x14ac:dyDescent="0.3">
      <c r="A37" s="73">
        <v>31</v>
      </c>
      <c r="B37" s="11" t="s">
        <v>46</v>
      </c>
      <c r="C37" s="11" t="s">
        <v>46</v>
      </c>
      <c r="D37" s="82" t="s">
        <v>352</v>
      </c>
      <c r="E37" s="35" t="s">
        <v>45</v>
      </c>
      <c r="F37" s="93" t="s">
        <v>960</v>
      </c>
      <c r="G37" s="93" t="s">
        <v>960</v>
      </c>
      <c r="H37" s="94" t="s">
        <v>581</v>
      </c>
      <c r="I37" s="94" t="s">
        <v>582</v>
      </c>
      <c r="J37" s="94" t="s">
        <v>583</v>
      </c>
      <c r="K37" s="94" t="s">
        <v>1010</v>
      </c>
      <c r="L37" s="14" t="s">
        <v>1382</v>
      </c>
      <c r="M37" s="36" t="s">
        <v>1430</v>
      </c>
      <c r="N37" s="36" t="s">
        <v>1430</v>
      </c>
      <c r="O37" s="36" t="s">
        <v>1430</v>
      </c>
      <c r="P37" s="36" t="s">
        <v>1430</v>
      </c>
      <c r="Q37" s="36" t="s">
        <v>1430</v>
      </c>
      <c r="R37" s="36" t="s">
        <v>1430</v>
      </c>
      <c r="S37" s="36" t="s">
        <v>1430</v>
      </c>
      <c r="T37" s="36" t="s">
        <v>1430</v>
      </c>
      <c r="U37" s="1" t="s">
        <v>1134</v>
      </c>
      <c r="V37" s="15" t="s">
        <v>1461</v>
      </c>
      <c r="W37" s="18" t="str">
        <f t="shared" si="0"/>
        <v xml:space="preserve">['V15', 'V15', 'VEDAPRES 002 - U DE ALUMINIO', 'Barra', 5.18, 5.18, 5.9, 5.7, 6.17, 5.96, 'Alvicruz 4.30+ 15%desp. - cbba - 0.906 - Kgr./barra - santa puej - 5.175 - $us./barra4.20 puesto S.C.', 0.00, 0.00, 0.00, 0.00, 0.00, 0.00, 0.00, 0.00], </v>
      </c>
      <c r="X37" s="18"/>
      <c r="AB37" s="1" t="str">
        <f t="shared" si="1"/>
        <v>['V15', 'V15', 'VEDAPRES 002 - U DE ALUMINIO', 0, 'Barra'],</v>
      </c>
    </row>
    <row r="38" spans="1:28" s="1" customFormat="1" ht="28.8" x14ac:dyDescent="0.3">
      <c r="A38" s="73">
        <v>32</v>
      </c>
      <c r="B38" s="11" t="s">
        <v>47</v>
      </c>
      <c r="C38" s="11" t="s">
        <v>47</v>
      </c>
      <c r="D38" s="83" t="s">
        <v>353</v>
      </c>
      <c r="E38" s="37" t="s">
        <v>45</v>
      </c>
      <c r="F38" s="95" t="s">
        <v>584</v>
      </c>
      <c r="G38" s="95">
        <v>5</v>
      </c>
      <c r="H38" s="96" t="s">
        <v>585</v>
      </c>
      <c r="I38" s="96" t="s">
        <v>586</v>
      </c>
      <c r="J38" s="96" t="s">
        <v>587</v>
      </c>
      <c r="K38" s="96" t="s">
        <v>1011</v>
      </c>
      <c r="L38" s="17" t="s">
        <v>240</v>
      </c>
      <c r="M38" s="38" t="s">
        <v>1430</v>
      </c>
      <c r="N38" s="38" t="s">
        <v>1430</v>
      </c>
      <c r="O38" s="38" t="s">
        <v>1430</v>
      </c>
      <c r="P38" s="38" t="s">
        <v>1430</v>
      </c>
      <c r="Q38" s="38" t="s">
        <v>1430</v>
      </c>
      <c r="R38" s="38" t="s">
        <v>1430</v>
      </c>
      <c r="S38" s="38" t="s">
        <v>1430</v>
      </c>
      <c r="T38" s="38" t="s">
        <v>1430</v>
      </c>
      <c r="U38" s="1" t="s">
        <v>1135</v>
      </c>
      <c r="V38" s="6" t="s">
        <v>1462</v>
      </c>
      <c r="W38" s="18" t="str">
        <f t="shared" si="0"/>
        <v xml:space="preserve">['V16', 'V16', 'VEDAPRES 003 - H (2,10MT/BARRA) INC.', 'Barra', 5.25, 5, 5.99, 5.5, 6.26, 5.75, 'Florencio Rivero - cbba -  -  - santa puej -  - ', 0.00, 0.00, 0.00, 0.00, 0.00, 0.00, 0.00, 0.00], </v>
      </c>
      <c r="X38" s="18"/>
      <c r="AB38" s="1" t="str">
        <f t="shared" si="1"/>
        <v>['V16', 'V16', 'VEDAPRES 003 - H (2,10MT/BARRA) INC.', 0, 'Barra'],</v>
      </c>
    </row>
    <row r="39" spans="1:28" s="1" customFormat="1" ht="28.8" x14ac:dyDescent="0.3">
      <c r="A39" s="73">
        <v>33</v>
      </c>
      <c r="B39" s="11" t="s">
        <v>48</v>
      </c>
      <c r="C39" s="11" t="s">
        <v>48</v>
      </c>
      <c r="D39" s="83" t="s">
        <v>354</v>
      </c>
      <c r="E39" s="37" t="s">
        <v>45</v>
      </c>
      <c r="F39" s="95" t="s">
        <v>584</v>
      </c>
      <c r="G39" s="95">
        <v>5</v>
      </c>
      <c r="H39" s="96" t="s">
        <v>585</v>
      </c>
      <c r="I39" s="96" t="s">
        <v>586</v>
      </c>
      <c r="J39" s="96" t="s">
        <v>587</v>
      </c>
      <c r="K39" s="96" t="s">
        <v>1011</v>
      </c>
      <c r="L39" s="17" t="s">
        <v>240</v>
      </c>
      <c r="M39" s="38" t="s">
        <v>1430</v>
      </c>
      <c r="N39" s="38" t="s">
        <v>1430</v>
      </c>
      <c r="O39" s="38" t="s">
        <v>1430</v>
      </c>
      <c r="P39" s="38" t="s">
        <v>1430</v>
      </c>
      <c r="Q39" s="38" t="s">
        <v>1430</v>
      </c>
      <c r="R39" s="38" t="s">
        <v>1430</v>
      </c>
      <c r="S39" s="38" t="s">
        <v>1430</v>
      </c>
      <c r="T39" s="38" t="s">
        <v>1430</v>
      </c>
      <c r="U39" s="1" t="s">
        <v>1136</v>
      </c>
      <c r="V39" s="6" t="s">
        <v>1463</v>
      </c>
      <c r="W39" s="18" t="str">
        <f t="shared" si="0"/>
        <v xml:space="preserve">['V17', 'V17', 'VEDAPRES 001 - H (2,10MT/BARRA) BCE.', 'Barra', 5.25, 5, 5.99, 5.5, 6.26, 5.75, 'Florencio Rivero - cbba -  -  - santa puej -  - ', 0.00, 0.00, 0.00, 0.00, 0.00, 0.00, 0.00, 0.00], </v>
      </c>
      <c r="X39" s="18"/>
      <c r="AB39" s="1" t="str">
        <f t="shared" si="1"/>
        <v>['V17', 'V17', 'VEDAPRES 001 - H (2,10MT/BARRA) BCE.', 0, 'Barra'],</v>
      </c>
    </row>
    <row r="40" spans="1:28" s="1" customFormat="1" ht="28.8" x14ac:dyDescent="0.3">
      <c r="A40" s="73">
        <v>34</v>
      </c>
      <c r="B40" s="11" t="s">
        <v>49</v>
      </c>
      <c r="C40" s="11" t="s">
        <v>49</v>
      </c>
      <c r="D40" s="83" t="s">
        <v>355</v>
      </c>
      <c r="E40" s="37" t="s">
        <v>45</v>
      </c>
      <c r="F40" s="95" t="s">
        <v>584</v>
      </c>
      <c r="G40" s="95">
        <v>5</v>
      </c>
      <c r="H40" s="96" t="s">
        <v>585</v>
      </c>
      <c r="I40" s="96" t="s">
        <v>586</v>
      </c>
      <c r="J40" s="96" t="s">
        <v>587</v>
      </c>
      <c r="K40" s="96" t="s">
        <v>1011</v>
      </c>
      <c r="L40" s="17" t="s">
        <v>240</v>
      </c>
      <c r="M40" s="38" t="s">
        <v>1430</v>
      </c>
      <c r="N40" s="38" t="s">
        <v>1430</v>
      </c>
      <c r="O40" s="38" t="s">
        <v>1430</v>
      </c>
      <c r="P40" s="38" t="s">
        <v>1430</v>
      </c>
      <c r="Q40" s="38" t="s">
        <v>1430</v>
      </c>
      <c r="R40" s="38" t="s">
        <v>1430</v>
      </c>
      <c r="S40" s="38" t="s">
        <v>1430</v>
      </c>
      <c r="T40" s="38" t="s">
        <v>1430</v>
      </c>
      <c r="U40" s="1" t="s">
        <v>1137</v>
      </c>
      <c r="V40" s="6" t="s">
        <v>1464</v>
      </c>
      <c r="W40" s="18" t="str">
        <f t="shared" si="0"/>
        <v xml:space="preserve">['V18', 'V18', 'VEDAPRES 002 - UC (2,10MT/BARRA) BCE.', 'Barra', 5.25, 5, 5.99, 5.5, 6.26, 5.75, 'Florencio Rivero - cbba -  -  - santa puej -  - ', 0.00, 0.00, 0.00, 0.00, 0.00, 0.00, 0.00, 0.00], </v>
      </c>
      <c r="X40" s="18"/>
      <c r="AB40" s="1" t="str">
        <f t="shared" si="1"/>
        <v>['V18', 'V18', 'VEDAPRES 002 - UC (2,10MT/BARRA) BCE.', 0, 'Barra'],</v>
      </c>
    </row>
    <row r="41" spans="1:28" s="1" customFormat="1" ht="28.8" x14ac:dyDescent="0.3">
      <c r="A41" s="73">
        <v>35</v>
      </c>
      <c r="B41" s="11" t="s">
        <v>50</v>
      </c>
      <c r="C41" s="11" t="s">
        <v>50</v>
      </c>
      <c r="D41" s="83" t="s">
        <v>356</v>
      </c>
      <c r="E41" s="37" t="s">
        <v>45</v>
      </c>
      <c r="F41" s="95" t="s">
        <v>584</v>
      </c>
      <c r="G41" s="95">
        <v>5</v>
      </c>
      <c r="H41" s="96" t="s">
        <v>585</v>
      </c>
      <c r="I41" s="96" t="s">
        <v>586</v>
      </c>
      <c r="J41" s="96" t="s">
        <v>587</v>
      </c>
      <c r="K41" s="96" t="s">
        <v>1011</v>
      </c>
      <c r="L41" s="17" t="s">
        <v>240</v>
      </c>
      <c r="M41" s="38" t="s">
        <v>1430</v>
      </c>
      <c r="N41" s="38" t="s">
        <v>1430</v>
      </c>
      <c r="O41" s="38" t="s">
        <v>1430</v>
      </c>
      <c r="P41" s="38" t="s">
        <v>1430</v>
      </c>
      <c r="Q41" s="38" t="s">
        <v>1430</v>
      </c>
      <c r="R41" s="38" t="s">
        <v>1430</v>
      </c>
      <c r="S41" s="38" t="s">
        <v>1430</v>
      </c>
      <c r="T41" s="38" t="s">
        <v>1430</v>
      </c>
      <c r="U41" s="1" t="s">
        <v>1138</v>
      </c>
      <c r="V41" s="6" t="s">
        <v>1465</v>
      </c>
      <c r="W41" s="18" t="str">
        <f t="shared" si="0"/>
        <v xml:space="preserve">['V19', 'V19', 'VEDAPRES 003 - H (2,10MT/BARRA) BCE.', 'Barra', 5.25, 5, 5.99, 5.5, 6.26, 5.75, 'Florencio Rivero - cbba -  -  - santa puej -  - ', 0.00, 0.00, 0.00, 0.00, 0.00, 0.00, 0.00, 0.00], </v>
      </c>
      <c r="X41" s="18"/>
      <c r="AB41" s="1" t="str">
        <f t="shared" si="1"/>
        <v>['V19', 'V19', 'VEDAPRES 003 - H (2,10MT/BARRA) BCE.', 0, 'Barra'],</v>
      </c>
    </row>
    <row r="42" spans="1:28" s="1" customFormat="1" ht="28.8" x14ac:dyDescent="0.3">
      <c r="A42" s="73">
        <v>36</v>
      </c>
      <c r="B42" s="11" t="s">
        <v>51</v>
      </c>
      <c r="C42" s="11" t="s">
        <v>51</v>
      </c>
      <c r="D42" s="83" t="s">
        <v>357</v>
      </c>
      <c r="E42" s="37" t="s">
        <v>24</v>
      </c>
      <c r="F42" s="95" t="s">
        <v>588</v>
      </c>
      <c r="G42" s="95">
        <v>85</v>
      </c>
      <c r="H42" s="96" t="s">
        <v>589</v>
      </c>
      <c r="I42" s="96" t="s">
        <v>590</v>
      </c>
      <c r="J42" s="96" t="s">
        <v>591</v>
      </c>
      <c r="K42" s="96" t="s">
        <v>1012</v>
      </c>
      <c r="L42" s="17" t="s">
        <v>240</v>
      </c>
      <c r="M42" s="38" t="s">
        <v>1430</v>
      </c>
      <c r="N42" s="38" t="s">
        <v>1430</v>
      </c>
      <c r="O42" s="38" t="s">
        <v>1430</v>
      </c>
      <c r="P42" s="38" t="s">
        <v>1430</v>
      </c>
      <c r="Q42" s="38" t="s">
        <v>1430</v>
      </c>
      <c r="R42" s="38" t="s">
        <v>1430</v>
      </c>
      <c r="S42" s="38" t="s">
        <v>1430</v>
      </c>
      <c r="T42" s="38" t="s">
        <v>1430</v>
      </c>
      <c r="U42" s="1" t="s">
        <v>1139</v>
      </c>
      <c r="V42" s="6" t="s">
        <v>1466</v>
      </c>
      <c r="W42" s="18" t="str">
        <f t="shared" si="0"/>
        <v xml:space="preserve">['V20', 'V20', 'FRENO HIDRÁULICO DORMA', 'Pza.', 89.25, 85, 101.69, 93.5, 106.31, 97.75, 'Florencio Rivero - cbba -  -  - santa puej -  - ', 0.00, 0.00, 0.00, 0.00, 0.00, 0.00, 0.00, 0.00], </v>
      </c>
      <c r="X42" s="18"/>
      <c r="AB42" s="1" t="str">
        <f t="shared" si="1"/>
        <v>['V20', 'V20', 'FRENO HIDRÁULICO DORMA', 0, 'Pza.'],</v>
      </c>
    </row>
    <row r="43" spans="1:28" s="1" customFormat="1" ht="28.8" x14ac:dyDescent="0.3">
      <c r="A43" s="73">
        <v>37</v>
      </c>
      <c r="B43" s="11" t="s">
        <v>52</v>
      </c>
      <c r="C43" s="11" t="s">
        <v>52</v>
      </c>
      <c r="D43" s="83" t="s">
        <v>358</v>
      </c>
      <c r="E43" s="37" t="s">
        <v>24</v>
      </c>
      <c r="F43" s="95">
        <v>70</v>
      </c>
      <c r="G43" s="95">
        <v>70</v>
      </c>
      <c r="H43" s="96" t="s">
        <v>592</v>
      </c>
      <c r="I43" s="96">
        <v>77</v>
      </c>
      <c r="J43" s="96" t="s">
        <v>593</v>
      </c>
      <c r="K43" s="96" t="s">
        <v>1013</v>
      </c>
      <c r="L43" s="17" t="s">
        <v>241</v>
      </c>
      <c r="M43" s="38" t="s">
        <v>1430</v>
      </c>
      <c r="N43" s="38" t="s">
        <v>1430</v>
      </c>
      <c r="O43" s="38" t="s">
        <v>1430</v>
      </c>
      <c r="P43" s="38" t="s">
        <v>1430</v>
      </c>
      <c r="Q43" s="38" t="s">
        <v>1430</v>
      </c>
      <c r="R43" s="38" t="s">
        <v>1430</v>
      </c>
      <c r="S43" s="38" t="s">
        <v>1430</v>
      </c>
      <c r="T43" s="38" t="s">
        <v>1430</v>
      </c>
      <c r="U43" s="1" t="s">
        <v>1140</v>
      </c>
      <c r="V43" s="6" t="s">
        <v>1467</v>
      </c>
      <c r="W43" s="18" t="str">
        <f t="shared" si="0"/>
        <v xml:space="preserve">['V21', 'V21', 'FRENO HIDRÁULICO HYH', 'Pza.', 70, 70, 79.75, 77, 83.38, 80.5, 'Cristembo La Paz - cbba -  -  - santa puej -  - ', 0.00, 0.00, 0.00, 0.00, 0.00, 0.00, 0.00, 0.00], </v>
      </c>
      <c r="X43" s="18"/>
      <c r="AB43" s="1" t="str">
        <f t="shared" si="1"/>
        <v>['V21', 'V21', 'FRENO HIDRÁULICO HYH', 0, 'Pza.'],</v>
      </c>
    </row>
    <row r="44" spans="1:28" s="1" customFormat="1" ht="28.8" x14ac:dyDescent="0.3">
      <c r="A44" s="73">
        <v>38</v>
      </c>
      <c r="B44" s="11" t="s">
        <v>53</v>
      </c>
      <c r="C44" s="11" t="s">
        <v>53</v>
      </c>
      <c r="D44" s="83" t="s">
        <v>359</v>
      </c>
      <c r="E44" s="37" t="s">
        <v>24</v>
      </c>
      <c r="F44" s="95">
        <v>3</v>
      </c>
      <c r="G44" s="95">
        <v>3</v>
      </c>
      <c r="H44" s="96" t="s">
        <v>594</v>
      </c>
      <c r="I44" s="96" t="s">
        <v>595</v>
      </c>
      <c r="J44" s="96" t="s">
        <v>596</v>
      </c>
      <c r="K44" s="96" t="s">
        <v>1014</v>
      </c>
      <c r="L44" s="17" t="s">
        <v>233</v>
      </c>
      <c r="M44" s="38" t="s">
        <v>1430</v>
      </c>
      <c r="N44" s="38" t="s">
        <v>1430</v>
      </c>
      <c r="O44" s="38" t="s">
        <v>1430</v>
      </c>
      <c r="P44" s="38" t="s">
        <v>1430</v>
      </c>
      <c r="Q44" s="38" t="s">
        <v>1430</v>
      </c>
      <c r="R44" s="38" t="s">
        <v>1430</v>
      </c>
      <c r="S44" s="38" t="s">
        <v>1430</v>
      </c>
      <c r="T44" s="38" t="s">
        <v>1430</v>
      </c>
      <c r="U44" s="1" t="s">
        <v>1141</v>
      </c>
      <c r="V44" s="6" t="s">
        <v>1468</v>
      </c>
      <c r="W44" s="18" t="str">
        <f t="shared" si="0"/>
        <v xml:space="preserve">['V22', 'V22', 'MANIJONES DE VIDRIO', 'Pza.', 3, 3, 3.42, 3.3, 3.58, 3.45, 'Revibol - cbba -  -  - santa puej -  - ', 0.00, 0.00, 0.00, 0.00, 0.00, 0.00, 0.00, 0.00], </v>
      </c>
      <c r="X44" s="18"/>
      <c r="AB44" s="1" t="str">
        <f t="shared" si="1"/>
        <v>['V22', 'V22', 'MANIJONES DE VIDRIO', 0, 'Pza.'],</v>
      </c>
    </row>
    <row r="45" spans="1:28" s="1" customFormat="1" ht="28.8" x14ac:dyDescent="0.3">
      <c r="A45" s="73">
        <v>39</v>
      </c>
      <c r="B45" s="11" t="s">
        <v>54</v>
      </c>
      <c r="C45" s="11" t="s">
        <v>54</v>
      </c>
      <c r="D45" s="82" t="s">
        <v>360</v>
      </c>
      <c r="E45" s="35" t="s">
        <v>24</v>
      </c>
      <c r="F45" s="93" t="s">
        <v>597</v>
      </c>
      <c r="G45" s="93" t="s">
        <v>597</v>
      </c>
      <c r="H45" s="94" t="s">
        <v>598</v>
      </c>
      <c r="I45" s="94" t="s">
        <v>599</v>
      </c>
      <c r="J45" s="94" t="s">
        <v>600</v>
      </c>
      <c r="K45" s="94" t="s">
        <v>1015</v>
      </c>
      <c r="L45" s="14" t="s">
        <v>1383</v>
      </c>
      <c r="M45" s="36" t="s">
        <v>1430</v>
      </c>
      <c r="N45" s="36" t="s">
        <v>1430</v>
      </c>
      <c r="O45" s="36" t="s">
        <v>1430</v>
      </c>
      <c r="P45" s="36" t="s">
        <v>1430</v>
      </c>
      <c r="Q45" s="36" t="s">
        <v>1430</v>
      </c>
      <c r="R45" s="36" t="s">
        <v>1430</v>
      </c>
      <c r="S45" s="36" t="s">
        <v>1430</v>
      </c>
      <c r="T45" s="36" t="s">
        <v>1430</v>
      </c>
      <c r="U45" s="1" t="s">
        <v>1142</v>
      </c>
      <c r="V45" s="15" t="s">
        <v>1469</v>
      </c>
      <c r="W45" s="18" t="str">
        <f t="shared" si="0"/>
        <v xml:space="preserve">['V23', 'V23', '1003 ( CROMADO Ó BRONCE VIEJO )', 'Pza.', 2.55, 2.55, 2.91, 2.81, 3.04, 2.94, 'Alvicruz + 0.15 transp - cbba -  - 2.4 - santa puej - puestos S.C. - ', 0.00, 0.00, 0.00, 0.00, 0.00, 0.00, 0.00, 0.00], </v>
      </c>
      <c r="X45" s="18"/>
      <c r="AB45" s="1" t="str">
        <f t="shared" si="1"/>
        <v>['V23', 'V23', '1003 ( CROMADO Ó BRONCE VIEJO )', 0, 'Pza.'],</v>
      </c>
    </row>
    <row r="46" spans="1:28" s="1" customFormat="1" ht="28.8" x14ac:dyDescent="0.3">
      <c r="A46" s="73">
        <v>40</v>
      </c>
      <c r="B46" s="11" t="s">
        <v>55</v>
      </c>
      <c r="C46" s="11" t="s">
        <v>55</v>
      </c>
      <c r="D46" s="82" t="s">
        <v>361</v>
      </c>
      <c r="E46" s="35" t="s">
        <v>24</v>
      </c>
      <c r="F46" s="93" t="s">
        <v>601</v>
      </c>
      <c r="G46" s="93" t="s">
        <v>601</v>
      </c>
      <c r="H46" s="94" t="s">
        <v>602</v>
      </c>
      <c r="I46" s="94" t="s">
        <v>603</v>
      </c>
      <c r="J46" s="94" t="s">
        <v>604</v>
      </c>
      <c r="K46" s="94" t="s">
        <v>851</v>
      </c>
      <c r="L46" s="14" t="s">
        <v>1384</v>
      </c>
      <c r="M46" s="36" t="s">
        <v>1430</v>
      </c>
      <c r="N46" s="36" t="s">
        <v>1430</v>
      </c>
      <c r="O46" s="36" t="s">
        <v>1430</v>
      </c>
      <c r="P46" s="36" t="s">
        <v>1430</v>
      </c>
      <c r="Q46" s="36" t="s">
        <v>1430</v>
      </c>
      <c r="R46" s="36" t="s">
        <v>1430</v>
      </c>
      <c r="S46" s="36" t="s">
        <v>1430</v>
      </c>
      <c r="T46" s="36" t="s">
        <v>1430</v>
      </c>
      <c r="U46" s="1" t="s">
        <v>1143</v>
      </c>
      <c r="V46" s="15" t="s">
        <v>1470</v>
      </c>
      <c r="W46" s="18" t="str">
        <f t="shared" si="0"/>
        <v xml:space="preserve">['V24', 'V24', '1013 ( CROMADO Ó BRONCE VIEJO )', 'Pza.', 3.15, 3.15, 3.59, 3.47, 3.76, 3.63, 'Alvicruz + 0.15 transp - cbba -  - 3 - santa puej - puestos S.C. - ', 0.00, 0.00, 0.00, 0.00, 0.00, 0.00, 0.00, 0.00], </v>
      </c>
      <c r="X46" s="18"/>
      <c r="AB46" s="1" t="str">
        <f t="shared" si="1"/>
        <v>['V24', 'V24', '1013 ( CROMADO Ó BRONCE VIEJO )', 0, 'Pza.'],</v>
      </c>
    </row>
    <row r="47" spans="1:28" s="1" customFormat="1" ht="28.8" x14ac:dyDescent="0.3">
      <c r="A47" s="73">
        <v>41</v>
      </c>
      <c r="B47" s="11" t="s">
        <v>56</v>
      </c>
      <c r="C47" s="11" t="s">
        <v>56</v>
      </c>
      <c r="D47" s="82" t="s">
        <v>362</v>
      </c>
      <c r="E47" s="35" t="s">
        <v>24</v>
      </c>
      <c r="F47" s="93" t="s">
        <v>605</v>
      </c>
      <c r="G47" s="93" t="s">
        <v>605</v>
      </c>
      <c r="H47" s="94" t="s">
        <v>606</v>
      </c>
      <c r="I47" s="94" t="s">
        <v>607</v>
      </c>
      <c r="J47" s="94" t="s">
        <v>608</v>
      </c>
      <c r="K47" s="94" t="s">
        <v>1016</v>
      </c>
      <c r="L47" s="14" t="s">
        <v>1385</v>
      </c>
      <c r="M47" s="36" t="s">
        <v>1430</v>
      </c>
      <c r="N47" s="36" t="s">
        <v>1430</v>
      </c>
      <c r="O47" s="36" t="s">
        <v>1430</v>
      </c>
      <c r="P47" s="36" t="s">
        <v>1430</v>
      </c>
      <c r="Q47" s="36" t="s">
        <v>1430</v>
      </c>
      <c r="R47" s="36" t="s">
        <v>1430</v>
      </c>
      <c r="S47" s="36" t="s">
        <v>1430</v>
      </c>
      <c r="T47" s="36" t="s">
        <v>1430</v>
      </c>
      <c r="U47" s="1" t="s">
        <v>1144</v>
      </c>
      <c r="V47" s="15" t="s">
        <v>1471</v>
      </c>
      <c r="W47" s="18" t="str">
        <f t="shared" si="0"/>
        <v xml:space="preserve">['V25', 'V25', '1038 ( CROMADO Ó BRONCE VIEJO )', 'Pza.', 1.15, 1.15, 1.32, 1.27, 1.37, 1.33, 'Alvicruz + 0.15 transp - cbba -  - 1 - santa puej - puestos S.C. - ', 0.00, 0.00, 0.00, 0.00, 0.00, 0.00, 0.00, 0.00], </v>
      </c>
      <c r="X47" s="18"/>
      <c r="AB47" s="1" t="str">
        <f t="shared" si="1"/>
        <v>['V25', 'V25', '1038 ( CROMADO Ó BRONCE VIEJO )', 0, 'Pza.'],</v>
      </c>
    </row>
    <row r="48" spans="1:28" s="1" customFormat="1" ht="28.8" x14ac:dyDescent="0.3">
      <c r="A48" s="73">
        <v>42</v>
      </c>
      <c r="B48" s="11" t="s">
        <v>57</v>
      </c>
      <c r="C48" s="11" t="s">
        <v>57</v>
      </c>
      <c r="D48" s="82" t="s">
        <v>363</v>
      </c>
      <c r="E48" s="35" t="s">
        <v>24</v>
      </c>
      <c r="F48" s="93" t="s">
        <v>605</v>
      </c>
      <c r="G48" s="93" t="s">
        <v>605</v>
      </c>
      <c r="H48" s="94" t="s">
        <v>606</v>
      </c>
      <c r="I48" s="94" t="s">
        <v>607</v>
      </c>
      <c r="J48" s="94" t="s">
        <v>608</v>
      </c>
      <c r="K48" s="94" t="s">
        <v>1016</v>
      </c>
      <c r="L48" s="14" t="s">
        <v>1385</v>
      </c>
      <c r="M48" s="36" t="s">
        <v>1430</v>
      </c>
      <c r="N48" s="36" t="s">
        <v>1430</v>
      </c>
      <c r="O48" s="36" t="s">
        <v>1430</v>
      </c>
      <c r="P48" s="36" t="s">
        <v>1430</v>
      </c>
      <c r="Q48" s="36" t="s">
        <v>1430</v>
      </c>
      <c r="R48" s="36" t="s">
        <v>1430</v>
      </c>
      <c r="S48" s="36" t="s">
        <v>1430</v>
      </c>
      <c r="T48" s="36" t="s">
        <v>1430</v>
      </c>
      <c r="U48" s="1" t="s">
        <v>1145</v>
      </c>
      <c r="V48" s="15" t="s">
        <v>1472</v>
      </c>
      <c r="W48" s="18" t="str">
        <f t="shared" si="0"/>
        <v xml:space="preserve">['V26', 'V26', '1038-C ( CROMADO Ó BRONCE VIEJO )', 'Pza.', 1.15, 1.15, 1.32, 1.27, 1.37, 1.33, 'Alvicruz + 0.15 transp - cbba -  - 1 - santa puej - puestos S.C. - ', 0.00, 0.00, 0.00, 0.00, 0.00, 0.00, 0.00, 0.00], </v>
      </c>
      <c r="X48" s="18"/>
      <c r="AB48" s="1" t="str">
        <f t="shared" si="1"/>
        <v>['V26', 'V26', '1038-C ( CROMADO Ó BRONCE VIEJO )', 0, 'Pza.'],</v>
      </c>
    </row>
    <row r="49" spans="1:28" s="1" customFormat="1" ht="28.8" x14ac:dyDescent="0.3">
      <c r="A49" s="73">
        <v>43</v>
      </c>
      <c r="B49" s="11" t="s">
        <v>58</v>
      </c>
      <c r="C49" s="11" t="s">
        <v>58</v>
      </c>
      <c r="D49" s="82" t="s">
        <v>364</v>
      </c>
      <c r="E49" s="35" t="s">
        <v>24</v>
      </c>
      <c r="F49" s="93" t="s">
        <v>610</v>
      </c>
      <c r="G49" s="93" t="s">
        <v>610</v>
      </c>
      <c r="H49" s="94" t="s">
        <v>611</v>
      </c>
      <c r="I49" s="94" t="s">
        <v>612</v>
      </c>
      <c r="J49" s="94" t="s">
        <v>613</v>
      </c>
      <c r="K49" s="94" t="s">
        <v>1017</v>
      </c>
      <c r="L49" s="14" t="s">
        <v>1386</v>
      </c>
      <c r="M49" s="36" t="s">
        <v>1430</v>
      </c>
      <c r="N49" s="36" t="s">
        <v>1430</v>
      </c>
      <c r="O49" s="36" t="s">
        <v>1430</v>
      </c>
      <c r="P49" s="36" t="s">
        <v>1430</v>
      </c>
      <c r="Q49" s="36" t="s">
        <v>1430</v>
      </c>
      <c r="R49" s="36" t="s">
        <v>1430</v>
      </c>
      <c r="S49" s="36" t="s">
        <v>1430</v>
      </c>
      <c r="T49" s="36" t="s">
        <v>1430</v>
      </c>
      <c r="U49" s="1" t="s">
        <v>1146</v>
      </c>
      <c r="V49" s="15" t="s">
        <v>1473</v>
      </c>
      <c r="W49" s="18" t="str">
        <f t="shared" si="0"/>
        <v xml:space="preserve">['V27', 'V27', '1101 ( CROMADO Ó BRONCE VIEJO )', 'Pza.', 7.65, 7.65, 8.72, 8.42, 9.12, 8.8, 'Alvicruz + 0.15 transp - cbba -  - 7.5 - santa puej - puestos S.C. - ', 0.00, 0.00, 0.00, 0.00, 0.00, 0.00, 0.00, 0.00], </v>
      </c>
      <c r="X49" s="18"/>
      <c r="AB49" s="1" t="str">
        <f t="shared" si="1"/>
        <v>['V27', 'V27', '1101 ( CROMADO Ó BRONCE VIEJO )', 0, 'Pza.'],</v>
      </c>
    </row>
    <row r="50" spans="1:28" s="1" customFormat="1" ht="28.8" x14ac:dyDescent="0.3">
      <c r="A50" s="73">
        <v>44</v>
      </c>
      <c r="B50" s="11" t="s">
        <v>59</v>
      </c>
      <c r="C50" s="11" t="s">
        <v>59</v>
      </c>
      <c r="D50" s="82" t="s">
        <v>365</v>
      </c>
      <c r="E50" s="35" t="s">
        <v>24</v>
      </c>
      <c r="F50" s="93" t="s">
        <v>614</v>
      </c>
      <c r="G50" s="93" t="s">
        <v>614</v>
      </c>
      <c r="H50" s="94" t="s">
        <v>615</v>
      </c>
      <c r="I50" s="94" t="s">
        <v>616</v>
      </c>
      <c r="J50" s="94" t="s">
        <v>617</v>
      </c>
      <c r="K50" s="94" t="s">
        <v>1018</v>
      </c>
      <c r="L50" s="14" t="s">
        <v>1387</v>
      </c>
      <c r="M50" s="36" t="s">
        <v>1430</v>
      </c>
      <c r="N50" s="36" t="s">
        <v>1430</v>
      </c>
      <c r="O50" s="36" t="s">
        <v>1430</v>
      </c>
      <c r="P50" s="36" t="s">
        <v>1430</v>
      </c>
      <c r="Q50" s="36" t="s">
        <v>1430</v>
      </c>
      <c r="R50" s="36" t="s">
        <v>1430</v>
      </c>
      <c r="S50" s="36" t="s">
        <v>1430</v>
      </c>
      <c r="T50" s="36" t="s">
        <v>1430</v>
      </c>
      <c r="U50" s="1" t="s">
        <v>1147</v>
      </c>
      <c r="V50" s="15" t="s">
        <v>1474</v>
      </c>
      <c r="W50" s="18" t="str">
        <f t="shared" si="0"/>
        <v xml:space="preserve">['V28', 'V28', '1103 ( CROMADO Ó BRONCE VIEJO )', 'Pza.', 8.65, 8.65, 9.86, 9.52, 10.31, 9.95, 'Alvicruz + 0.15 transp - cbba -  - 8.5 - santa puej - puestos S.C. - ', 0.00, 0.00, 0.00, 0.00, 0.00, 0.00, 0.00, 0.00], </v>
      </c>
      <c r="X50" s="18"/>
      <c r="AB50" s="1" t="str">
        <f t="shared" si="1"/>
        <v>['V28', 'V28', '1103 ( CROMADO Ó BRONCE VIEJO )', 0, 'Pza.'],</v>
      </c>
    </row>
    <row r="51" spans="1:28" s="1" customFormat="1" ht="28.8" x14ac:dyDescent="0.3">
      <c r="A51" s="73">
        <v>45</v>
      </c>
      <c r="B51" s="11" t="s">
        <v>60</v>
      </c>
      <c r="C51" s="11" t="s">
        <v>60</v>
      </c>
      <c r="D51" s="82" t="s">
        <v>366</v>
      </c>
      <c r="E51" s="35" t="s">
        <v>24</v>
      </c>
      <c r="F51" s="93" t="s">
        <v>618</v>
      </c>
      <c r="G51" s="93" t="s">
        <v>618</v>
      </c>
      <c r="H51" s="94" t="s">
        <v>619</v>
      </c>
      <c r="I51" s="94" t="s">
        <v>610</v>
      </c>
      <c r="J51" s="94" t="s">
        <v>620</v>
      </c>
      <c r="K51" s="94">
        <v>8</v>
      </c>
      <c r="L51" s="14" t="s">
        <v>1388</v>
      </c>
      <c r="M51" s="36" t="s">
        <v>1430</v>
      </c>
      <c r="N51" s="36" t="s">
        <v>1430</v>
      </c>
      <c r="O51" s="36" t="s">
        <v>1430</v>
      </c>
      <c r="P51" s="36" t="s">
        <v>1430</v>
      </c>
      <c r="Q51" s="36" t="s">
        <v>1430</v>
      </c>
      <c r="R51" s="36" t="s">
        <v>1430</v>
      </c>
      <c r="S51" s="36" t="s">
        <v>1430</v>
      </c>
      <c r="T51" s="36" t="s">
        <v>1430</v>
      </c>
      <c r="U51" s="1" t="s">
        <v>1148</v>
      </c>
      <c r="V51" s="15" t="s">
        <v>1475</v>
      </c>
      <c r="W51" s="18" t="str">
        <f t="shared" si="0"/>
        <v xml:space="preserve">['V29', 'V29', '1114 ( CROMADO Ó BRONCE VIEJO )', 'Pza.', 6.95, 6.95, 7.92, 7.65, 8.28, 8, 'Alvicruz + 0.15 transp - cbba -  - 6.8 - santa puej - puestos S.C. - ', 0.00, 0.00, 0.00, 0.00, 0.00, 0.00, 0.00, 0.00], </v>
      </c>
      <c r="X51" s="18"/>
      <c r="AB51" s="1" t="str">
        <f t="shared" si="1"/>
        <v>['V29', 'V29', '1114 ( CROMADO Ó BRONCE VIEJO )', 0, 'Pza.'],</v>
      </c>
    </row>
    <row r="52" spans="1:28" s="1" customFormat="1" ht="28.8" x14ac:dyDescent="0.3">
      <c r="A52" s="73">
        <v>46</v>
      </c>
      <c r="B52" s="11" t="s">
        <v>61</v>
      </c>
      <c r="C52" s="11" t="s">
        <v>61</v>
      </c>
      <c r="D52" s="82" t="s">
        <v>367</v>
      </c>
      <c r="E52" s="35" t="s">
        <v>24</v>
      </c>
      <c r="F52" s="93" t="s">
        <v>618</v>
      </c>
      <c r="G52" s="93" t="s">
        <v>618</v>
      </c>
      <c r="H52" s="94" t="s">
        <v>619</v>
      </c>
      <c r="I52" s="94" t="s">
        <v>610</v>
      </c>
      <c r="J52" s="94" t="s">
        <v>620</v>
      </c>
      <c r="K52" s="94">
        <v>8</v>
      </c>
      <c r="L52" s="14" t="s">
        <v>1388</v>
      </c>
      <c r="M52" s="36" t="s">
        <v>1430</v>
      </c>
      <c r="N52" s="36" t="s">
        <v>1430</v>
      </c>
      <c r="O52" s="36" t="s">
        <v>1430</v>
      </c>
      <c r="P52" s="36" t="s">
        <v>1430</v>
      </c>
      <c r="Q52" s="36" t="s">
        <v>1430</v>
      </c>
      <c r="R52" s="36" t="s">
        <v>1430</v>
      </c>
      <c r="S52" s="36" t="s">
        <v>1430</v>
      </c>
      <c r="T52" s="36" t="s">
        <v>1430</v>
      </c>
      <c r="U52" s="1" t="s">
        <v>1149</v>
      </c>
      <c r="V52" s="15" t="s">
        <v>1476</v>
      </c>
      <c r="W52" s="18" t="str">
        <f t="shared" si="0"/>
        <v xml:space="preserve">['V30', 'V30', '1115 ( CROMADO Ó BRONCE VIEJO )', 'Pza.', 6.95, 6.95, 7.92, 7.65, 8.28, 8, 'Alvicruz + 0.15 transp - cbba -  - 6.8 - santa puej - puestos S.C. - ', 0.00, 0.00, 0.00, 0.00, 0.00, 0.00, 0.00, 0.00], </v>
      </c>
      <c r="X52" s="18"/>
      <c r="AB52" s="1" t="str">
        <f t="shared" si="1"/>
        <v>['V30', 'V30', '1115 ( CROMADO Ó BRONCE VIEJO )', 0, 'Pza.'],</v>
      </c>
    </row>
    <row r="53" spans="1:28" s="1" customFormat="1" ht="28.8" x14ac:dyDescent="0.3">
      <c r="A53" s="73">
        <v>47</v>
      </c>
      <c r="B53" s="11" t="s">
        <v>62</v>
      </c>
      <c r="C53" s="11" t="s">
        <v>62</v>
      </c>
      <c r="D53" s="82" t="s">
        <v>368</v>
      </c>
      <c r="E53" s="35" t="s">
        <v>24</v>
      </c>
      <c r="F53" s="93" t="s">
        <v>621</v>
      </c>
      <c r="G53" s="93" t="s">
        <v>621</v>
      </c>
      <c r="H53" s="94" t="s">
        <v>622</v>
      </c>
      <c r="I53" s="94" t="s">
        <v>623</v>
      </c>
      <c r="J53" s="94" t="s">
        <v>534</v>
      </c>
      <c r="K53" s="94" t="s">
        <v>1019</v>
      </c>
      <c r="L53" s="14" t="s">
        <v>1389</v>
      </c>
      <c r="M53" s="36" t="s">
        <v>1430</v>
      </c>
      <c r="N53" s="36" t="s">
        <v>1430</v>
      </c>
      <c r="O53" s="36" t="s">
        <v>1430</v>
      </c>
      <c r="P53" s="36" t="s">
        <v>1430</v>
      </c>
      <c r="Q53" s="36" t="s">
        <v>1430</v>
      </c>
      <c r="R53" s="36" t="s">
        <v>1430</v>
      </c>
      <c r="S53" s="36" t="s">
        <v>1430</v>
      </c>
      <c r="T53" s="36" t="s">
        <v>1430</v>
      </c>
      <c r="U53" s="1" t="s">
        <v>1150</v>
      </c>
      <c r="V53" s="15" t="s">
        <v>1477</v>
      </c>
      <c r="W53" s="18" t="str">
        <f t="shared" si="0"/>
        <v xml:space="preserve">['V31', 'V31', '1117 ( CROMADO Ó BRONCE VIEJO )', 'Pza.', 21.15, 21.15, 24.1, 23.27, 25.2, 24.33, 'Alvicruz + 0.15 transp - cbba -  - 21 - santa puej - puestos S.C. - ', 0.00, 0.00, 0.00, 0.00, 0.00, 0.00, 0.00, 0.00], </v>
      </c>
      <c r="X53" s="18"/>
      <c r="AB53" s="1" t="str">
        <f t="shared" si="1"/>
        <v>['V31', 'V31', '1117 ( CROMADO Ó BRONCE VIEJO )', 0, 'Pza.'],</v>
      </c>
    </row>
    <row r="54" spans="1:28" s="1" customFormat="1" ht="28.8" x14ac:dyDescent="0.3">
      <c r="A54" s="73">
        <v>48</v>
      </c>
      <c r="B54" s="11" t="s">
        <v>63</v>
      </c>
      <c r="C54" s="11" t="s">
        <v>63</v>
      </c>
      <c r="D54" s="82" t="s">
        <v>369</v>
      </c>
      <c r="E54" s="35" t="s">
        <v>24</v>
      </c>
      <c r="F54" s="93" t="s">
        <v>624</v>
      </c>
      <c r="G54" s="93" t="s">
        <v>624</v>
      </c>
      <c r="H54" s="94" t="s">
        <v>625</v>
      </c>
      <c r="I54" s="94" t="s">
        <v>522</v>
      </c>
      <c r="J54" s="94" t="s">
        <v>502</v>
      </c>
      <c r="K54" s="94" t="s">
        <v>1020</v>
      </c>
      <c r="L54" s="14" t="s">
        <v>1390</v>
      </c>
      <c r="M54" s="36" t="s">
        <v>1430</v>
      </c>
      <c r="N54" s="36" t="s">
        <v>1430</v>
      </c>
      <c r="O54" s="36" t="s">
        <v>1430</v>
      </c>
      <c r="P54" s="36" t="s">
        <v>1430</v>
      </c>
      <c r="Q54" s="36" t="s">
        <v>1430</v>
      </c>
      <c r="R54" s="36" t="s">
        <v>1430</v>
      </c>
      <c r="S54" s="36" t="s">
        <v>1430</v>
      </c>
      <c r="T54" s="36" t="s">
        <v>1430</v>
      </c>
      <c r="U54" s="1" t="s">
        <v>1151</v>
      </c>
      <c r="V54" s="15" t="s">
        <v>1478</v>
      </c>
      <c r="W54" s="18" t="str">
        <f t="shared" si="0"/>
        <v xml:space="preserve">['V32', 'V32', '1123 ( CROMADO Ó BRONCE VIEJO )', 'Pza.', 3.65, 3.65, 4.16, 4.02, 4.35, 4.2, 'Alvicruz + 0.15 transp - cbba -  - 3.5 - santa puej - puestos S.C. - ', 0.00, 0.00, 0.00, 0.00, 0.00, 0.00, 0.00, 0.00], </v>
      </c>
      <c r="X54" s="18"/>
      <c r="AB54" s="1" t="str">
        <f t="shared" si="1"/>
        <v>['V32', 'V32', '1123 ( CROMADO Ó BRONCE VIEJO )', 0, 'Pza.'],</v>
      </c>
    </row>
    <row r="55" spans="1:28" s="1" customFormat="1" ht="28.8" x14ac:dyDescent="0.3">
      <c r="A55" s="73">
        <v>49</v>
      </c>
      <c r="B55" s="11" t="s">
        <v>64</v>
      </c>
      <c r="C55" s="11" t="s">
        <v>64</v>
      </c>
      <c r="D55" s="82" t="s">
        <v>370</v>
      </c>
      <c r="E55" s="35" t="s">
        <v>24</v>
      </c>
      <c r="F55" s="93" t="s">
        <v>627</v>
      </c>
      <c r="G55" s="93" t="s">
        <v>627</v>
      </c>
      <c r="H55" s="94" t="s">
        <v>628</v>
      </c>
      <c r="I55" s="94" t="s">
        <v>629</v>
      </c>
      <c r="J55" s="94" t="s">
        <v>630</v>
      </c>
      <c r="K55" s="94" t="s">
        <v>1021</v>
      </c>
      <c r="L55" s="14" t="s">
        <v>1391</v>
      </c>
      <c r="M55" s="36" t="s">
        <v>1430</v>
      </c>
      <c r="N55" s="36" t="s">
        <v>1430</v>
      </c>
      <c r="O55" s="36" t="s">
        <v>1430</v>
      </c>
      <c r="P55" s="36" t="s">
        <v>1430</v>
      </c>
      <c r="Q55" s="36" t="s">
        <v>1430</v>
      </c>
      <c r="R55" s="36" t="s">
        <v>1430</v>
      </c>
      <c r="S55" s="36" t="s">
        <v>1430</v>
      </c>
      <c r="T55" s="36" t="s">
        <v>1430</v>
      </c>
      <c r="U55" s="1" t="s">
        <v>1152</v>
      </c>
      <c r="V55" s="15" t="s">
        <v>1479</v>
      </c>
      <c r="W55" s="18" t="str">
        <f t="shared" si="0"/>
        <v xml:space="preserve">['V33', 'V33', '1125 ( CROMADO Ó BRONCE VIEJO )', 'Pza.', 0.7, 0.7, 0.8, 0.77, 0.84, 0.81, 'Alvicruz + 0.15 transp - cbba -  - 0.55 - santa puej - puestos S.C. - ', 0.00, 0.00, 0.00, 0.00, 0.00, 0.00, 0.00, 0.00], </v>
      </c>
      <c r="X55" s="18"/>
      <c r="AB55" s="1" t="str">
        <f t="shared" si="1"/>
        <v>['V33', 'V33', '1125 ( CROMADO Ó BRONCE VIEJO )', 0, 'Pza.'],</v>
      </c>
    </row>
    <row r="56" spans="1:28" s="1" customFormat="1" ht="28.8" x14ac:dyDescent="0.3">
      <c r="A56" s="73">
        <v>50</v>
      </c>
      <c r="B56" s="11" t="s">
        <v>65</v>
      </c>
      <c r="C56" s="11" t="s">
        <v>65</v>
      </c>
      <c r="D56" s="82" t="s">
        <v>371</v>
      </c>
      <c r="E56" s="35" t="s">
        <v>24</v>
      </c>
      <c r="F56" s="93" t="s">
        <v>631</v>
      </c>
      <c r="G56" s="93" t="s">
        <v>631</v>
      </c>
      <c r="H56" s="94" t="s">
        <v>632</v>
      </c>
      <c r="I56" s="94" t="s">
        <v>633</v>
      </c>
      <c r="J56" s="94" t="s">
        <v>634</v>
      </c>
      <c r="K56" s="94" t="s">
        <v>1022</v>
      </c>
      <c r="L56" s="14" t="s">
        <v>1392</v>
      </c>
      <c r="M56" s="36" t="s">
        <v>1430</v>
      </c>
      <c r="N56" s="36" t="s">
        <v>1430</v>
      </c>
      <c r="O56" s="36" t="s">
        <v>1430</v>
      </c>
      <c r="P56" s="36" t="s">
        <v>1430</v>
      </c>
      <c r="Q56" s="36" t="s">
        <v>1430</v>
      </c>
      <c r="R56" s="36" t="s">
        <v>1430</v>
      </c>
      <c r="S56" s="36" t="s">
        <v>1430</v>
      </c>
      <c r="T56" s="36" t="s">
        <v>1430</v>
      </c>
      <c r="U56" s="1" t="s">
        <v>1153</v>
      </c>
      <c r="V56" s="15" t="s">
        <v>1480</v>
      </c>
      <c r="W56" s="18" t="str">
        <f t="shared" si="0"/>
        <v xml:space="preserve">['V34', 'V34', '1125-A ( CROMADO Ó BRONCE VIEJO )', 'Pza.', 2.35, 2.35, 2.68, 2.59, 2.8, 2.71, 'Alvicruz + 0.15 transp - cbba -  - 2.2 - santa puej - puestos S.C. - ', 0.00, 0.00, 0.00, 0.00, 0.00, 0.00, 0.00, 0.00], </v>
      </c>
      <c r="X56" s="18"/>
      <c r="AB56" s="1" t="str">
        <f t="shared" si="1"/>
        <v>['V34', 'V34', '1125-A ( CROMADO Ó BRONCE VIEJO )', 0, 'Pza.'],</v>
      </c>
    </row>
    <row r="57" spans="1:28" s="1" customFormat="1" ht="28.8" x14ac:dyDescent="0.3">
      <c r="A57" s="73">
        <v>51</v>
      </c>
      <c r="B57" s="11" t="s">
        <v>66</v>
      </c>
      <c r="C57" s="11" t="s">
        <v>66</v>
      </c>
      <c r="D57" s="82" t="s">
        <v>372</v>
      </c>
      <c r="E57" s="35" t="s">
        <v>24</v>
      </c>
      <c r="F57" s="93" t="s">
        <v>636</v>
      </c>
      <c r="G57" s="93" t="s">
        <v>636</v>
      </c>
      <c r="H57" s="94" t="s">
        <v>637</v>
      </c>
      <c r="I57" s="94" t="s">
        <v>638</v>
      </c>
      <c r="J57" s="94" t="s">
        <v>639</v>
      </c>
      <c r="K57" s="94" t="s">
        <v>820</v>
      </c>
      <c r="L57" s="14" t="s">
        <v>1393</v>
      </c>
      <c r="M57" s="36" t="s">
        <v>1430</v>
      </c>
      <c r="N57" s="36" t="s">
        <v>1430</v>
      </c>
      <c r="O57" s="36" t="s">
        <v>1430</v>
      </c>
      <c r="P57" s="36" t="s">
        <v>1430</v>
      </c>
      <c r="Q57" s="36" t="s">
        <v>1430</v>
      </c>
      <c r="R57" s="36" t="s">
        <v>1430</v>
      </c>
      <c r="S57" s="36" t="s">
        <v>1430</v>
      </c>
      <c r="T57" s="36" t="s">
        <v>1430</v>
      </c>
      <c r="U57" s="1" t="s">
        <v>1154</v>
      </c>
      <c r="V57" s="15" t="s">
        <v>1481</v>
      </c>
      <c r="W57" s="18" t="str">
        <f t="shared" si="0"/>
        <v xml:space="preserve">['V35', 'V35', '1201 ( CROMADO Ó BRONCE VIEJO )', 'Pza.', 1.55, 1.55, 1.77, 1.71, 1.85, 1.79, 'Alvicruz + 0.15 transp - cbba -  - 1.4 - santa puej - puestos S.C. - ', 0.00, 0.00, 0.00, 0.00, 0.00, 0.00, 0.00, 0.00], </v>
      </c>
      <c r="X57" s="18"/>
      <c r="AB57" s="1" t="str">
        <f t="shared" si="1"/>
        <v>['V35', 'V35', '1201 ( CROMADO Ó BRONCE VIEJO )', 0, 'Pza.'],</v>
      </c>
    </row>
    <row r="58" spans="1:28" s="1" customFormat="1" ht="28.8" x14ac:dyDescent="0.3">
      <c r="A58" s="73">
        <v>52</v>
      </c>
      <c r="B58" s="11" t="s">
        <v>67</v>
      </c>
      <c r="C58" s="11" t="s">
        <v>67</v>
      </c>
      <c r="D58" s="82" t="s">
        <v>373</v>
      </c>
      <c r="E58" s="35" t="s">
        <v>24</v>
      </c>
      <c r="F58" s="93" t="s">
        <v>516</v>
      </c>
      <c r="G58" s="93" t="s">
        <v>516</v>
      </c>
      <c r="H58" s="94" t="s">
        <v>577</v>
      </c>
      <c r="I58" s="94" t="s">
        <v>641</v>
      </c>
      <c r="J58" s="94" t="s">
        <v>642</v>
      </c>
      <c r="K58" s="94" t="s">
        <v>1023</v>
      </c>
      <c r="L58" s="14" t="s">
        <v>1394</v>
      </c>
      <c r="M58" s="36" t="s">
        <v>1430</v>
      </c>
      <c r="N58" s="36" t="s">
        <v>1430</v>
      </c>
      <c r="O58" s="36" t="s">
        <v>1430</v>
      </c>
      <c r="P58" s="36" t="s">
        <v>1430</v>
      </c>
      <c r="Q58" s="36" t="s">
        <v>1430</v>
      </c>
      <c r="R58" s="36" t="s">
        <v>1430</v>
      </c>
      <c r="S58" s="36" t="s">
        <v>1430</v>
      </c>
      <c r="T58" s="36" t="s">
        <v>1430</v>
      </c>
      <c r="U58" s="1" t="s">
        <v>1155</v>
      </c>
      <c r="V58" s="15" t="s">
        <v>1482</v>
      </c>
      <c r="W58" s="18" t="str">
        <f t="shared" si="0"/>
        <v xml:space="preserve">['V36', 'V36', '1203 ( CROMADO Ó BRONCE VIEJO )', 'Pza.', 9.15, 9.15, 10.43, 10.07, 10.9, 10.53, 'Alvicruz + 0.15 transp - cbba -  - 9 - santa puej - puestos S.C. - ', 0.00, 0.00, 0.00, 0.00, 0.00, 0.00, 0.00, 0.00], </v>
      </c>
      <c r="X58" s="18"/>
      <c r="AB58" s="1" t="str">
        <f t="shared" si="1"/>
        <v>['V36', 'V36', '1203 ( CROMADO Ó BRONCE VIEJO )', 0, 'Pza.'],</v>
      </c>
    </row>
    <row r="59" spans="1:28" s="1" customFormat="1" ht="28.8" x14ac:dyDescent="0.3">
      <c r="A59" s="73">
        <v>53</v>
      </c>
      <c r="B59" s="11" t="s">
        <v>68</v>
      </c>
      <c r="C59" s="11" t="s">
        <v>68</v>
      </c>
      <c r="D59" s="82" t="s">
        <v>374</v>
      </c>
      <c r="E59" s="35" t="s">
        <v>24</v>
      </c>
      <c r="F59" s="93" t="s">
        <v>643</v>
      </c>
      <c r="G59" s="93" t="s">
        <v>643</v>
      </c>
      <c r="H59" s="94" t="s">
        <v>644</v>
      </c>
      <c r="I59" s="94" t="s">
        <v>645</v>
      </c>
      <c r="J59" s="94" t="s">
        <v>646</v>
      </c>
      <c r="K59" s="94" t="s">
        <v>870</v>
      </c>
      <c r="L59" s="14" t="s">
        <v>1395</v>
      </c>
      <c r="M59" s="36" t="s">
        <v>1430</v>
      </c>
      <c r="N59" s="36" t="s">
        <v>1430</v>
      </c>
      <c r="O59" s="36" t="s">
        <v>1430</v>
      </c>
      <c r="P59" s="36" t="s">
        <v>1430</v>
      </c>
      <c r="Q59" s="36" t="s">
        <v>1430</v>
      </c>
      <c r="R59" s="36" t="s">
        <v>1430</v>
      </c>
      <c r="S59" s="36" t="s">
        <v>1430</v>
      </c>
      <c r="T59" s="36" t="s">
        <v>1430</v>
      </c>
      <c r="U59" s="1" t="s">
        <v>1156</v>
      </c>
      <c r="V59" s="15" t="s">
        <v>1483</v>
      </c>
      <c r="W59" s="18" t="str">
        <f t="shared" si="0"/>
        <v xml:space="preserve">['V37', 'V37', '1209 ( CROMADO Ó BRONCE VIEJO )', 'Pza.', 11.15, 11.15, 12.71, 12.27, 13.29, 12.83, 'Alvicruz + 0.15 transp - cbba -  - 11 - santa puej - puestos S.C. - ', 0.00, 0.00, 0.00, 0.00, 0.00, 0.00, 0.00, 0.00], </v>
      </c>
      <c r="X59" s="18"/>
      <c r="AB59" s="1" t="str">
        <f t="shared" si="1"/>
        <v>['V37', 'V37', '1209 ( CROMADO Ó BRONCE VIEJO )', 0, 'Pza.'],</v>
      </c>
    </row>
    <row r="60" spans="1:28" s="1" customFormat="1" ht="28.8" x14ac:dyDescent="0.3">
      <c r="A60" s="73">
        <v>54</v>
      </c>
      <c r="B60" s="11" t="s">
        <v>69</v>
      </c>
      <c r="C60" s="11" t="s">
        <v>69</v>
      </c>
      <c r="D60" s="82" t="s">
        <v>375</v>
      </c>
      <c r="E60" s="35" t="s">
        <v>24</v>
      </c>
      <c r="F60" s="93" t="s">
        <v>647</v>
      </c>
      <c r="G60" s="93" t="s">
        <v>647</v>
      </c>
      <c r="H60" s="94" t="s">
        <v>648</v>
      </c>
      <c r="I60" s="94" t="s">
        <v>649</v>
      </c>
      <c r="J60" s="94" t="s">
        <v>650</v>
      </c>
      <c r="K60" s="94" t="s">
        <v>942</v>
      </c>
      <c r="L60" s="14" t="s">
        <v>1396</v>
      </c>
      <c r="M60" s="36" t="s">
        <v>1430</v>
      </c>
      <c r="N60" s="36" t="s">
        <v>1430</v>
      </c>
      <c r="O60" s="36" t="s">
        <v>1430</v>
      </c>
      <c r="P60" s="36" t="s">
        <v>1430</v>
      </c>
      <c r="Q60" s="36" t="s">
        <v>1430</v>
      </c>
      <c r="R60" s="36" t="s">
        <v>1430</v>
      </c>
      <c r="S60" s="36" t="s">
        <v>1430</v>
      </c>
      <c r="T60" s="36" t="s">
        <v>1430</v>
      </c>
      <c r="U60" s="1" t="s">
        <v>1157</v>
      </c>
      <c r="V60" s="15" t="s">
        <v>1484</v>
      </c>
      <c r="W60" s="18" t="str">
        <f t="shared" si="0"/>
        <v xml:space="preserve">['V38', 'V38', '1230 ( CROMADO Ó BRONCE VIEJO )', 'Pza.', 2.95, 2.95, 3.37, 3.25, 3.52, 3.4, 'Alvicruz + 0.15 transp - cbba -  - 2.8 - santa puej - puestos S.C. - ', 0.00, 0.00, 0.00, 0.00, 0.00, 0.00, 0.00, 0.00], </v>
      </c>
      <c r="X60" s="18"/>
      <c r="AB60" s="1" t="str">
        <f t="shared" si="1"/>
        <v>['V38', 'V38', '1230 ( CROMADO Ó BRONCE VIEJO )', 0, 'Pza.'],</v>
      </c>
    </row>
    <row r="61" spans="1:28" s="1" customFormat="1" ht="28.8" x14ac:dyDescent="0.3">
      <c r="A61" s="73">
        <v>55</v>
      </c>
      <c r="B61" s="11" t="s">
        <v>70</v>
      </c>
      <c r="C61" s="11" t="s">
        <v>70</v>
      </c>
      <c r="D61" s="82" t="s">
        <v>376</v>
      </c>
      <c r="E61" s="35" t="s">
        <v>24</v>
      </c>
      <c r="F61" s="93" t="s">
        <v>624</v>
      </c>
      <c r="G61" s="93" t="s">
        <v>624</v>
      </c>
      <c r="H61" s="94" t="s">
        <v>625</v>
      </c>
      <c r="I61" s="94" t="s">
        <v>522</v>
      </c>
      <c r="J61" s="94" t="s">
        <v>502</v>
      </c>
      <c r="K61" s="94" t="s">
        <v>1020</v>
      </c>
      <c r="L61" s="14" t="s">
        <v>1390</v>
      </c>
      <c r="M61" s="36" t="s">
        <v>1430</v>
      </c>
      <c r="N61" s="36" t="s">
        <v>1430</v>
      </c>
      <c r="O61" s="36" t="s">
        <v>1430</v>
      </c>
      <c r="P61" s="36" t="s">
        <v>1430</v>
      </c>
      <c r="Q61" s="36" t="s">
        <v>1430</v>
      </c>
      <c r="R61" s="36" t="s">
        <v>1430</v>
      </c>
      <c r="S61" s="36" t="s">
        <v>1430</v>
      </c>
      <c r="T61" s="36" t="s">
        <v>1430</v>
      </c>
      <c r="U61" s="1" t="s">
        <v>1158</v>
      </c>
      <c r="V61" s="15" t="s">
        <v>1485</v>
      </c>
      <c r="W61" s="18" t="str">
        <f t="shared" si="0"/>
        <v xml:space="preserve">['V39', 'V39', '1302 ( CROMADO Ó BRONCE VIEJO )', 'Pza.', 3.65, 3.65, 4.16, 4.02, 4.35, 4.2, 'Alvicruz + 0.15 transp - cbba -  - 3.5 - santa puej - puestos S.C. - ', 0.00, 0.00, 0.00, 0.00, 0.00, 0.00, 0.00, 0.00], </v>
      </c>
      <c r="X61" s="18"/>
      <c r="AB61" s="1" t="str">
        <f t="shared" si="1"/>
        <v>['V39', 'V39', '1302 ( CROMADO Ó BRONCE VIEJO )', 0, 'Pza.'],</v>
      </c>
    </row>
    <row r="62" spans="1:28" s="1" customFormat="1" ht="28.8" x14ac:dyDescent="0.3">
      <c r="A62" s="73">
        <v>56</v>
      </c>
      <c r="B62" s="11" t="s">
        <v>71</v>
      </c>
      <c r="C62" s="11" t="s">
        <v>71</v>
      </c>
      <c r="D62" s="82" t="s">
        <v>377</v>
      </c>
      <c r="E62" s="35" t="s">
        <v>24</v>
      </c>
      <c r="F62" s="93" t="s">
        <v>651</v>
      </c>
      <c r="G62" s="93" t="s">
        <v>651</v>
      </c>
      <c r="H62" s="94" t="s">
        <v>652</v>
      </c>
      <c r="I62" s="94" t="s">
        <v>653</v>
      </c>
      <c r="J62" s="94" t="s">
        <v>654</v>
      </c>
      <c r="K62" s="94" t="s">
        <v>1024</v>
      </c>
      <c r="L62" s="14" t="s">
        <v>1397</v>
      </c>
      <c r="M62" s="36" t="s">
        <v>1430</v>
      </c>
      <c r="N62" s="36" t="s">
        <v>1430</v>
      </c>
      <c r="O62" s="36" t="s">
        <v>1430</v>
      </c>
      <c r="P62" s="36" t="s">
        <v>1430</v>
      </c>
      <c r="Q62" s="36" t="s">
        <v>1430</v>
      </c>
      <c r="R62" s="36" t="s">
        <v>1430</v>
      </c>
      <c r="S62" s="36" t="s">
        <v>1430</v>
      </c>
      <c r="T62" s="36" t="s">
        <v>1430</v>
      </c>
      <c r="U62" s="1" t="s">
        <v>1159</v>
      </c>
      <c r="V62" s="15" t="s">
        <v>1486</v>
      </c>
      <c r="W62" s="18" t="str">
        <f t="shared" si="0"/>
        <v xml:space="preserve">['V40', 'V40', '1306 ( CROMADO Ó BRONCE VIEJO )', 'Pza.', 5.65, 5.65, 6.44, 6.22, 6.73, 6.5, 'Alvicruz + 0.15 transp - cbba -  - 5.5 - santa puej - puestos S.C. - ', 0.00, 0.00, 0.00, 0.00, 0.00, 0.00, 0.00, 0.00], </v>
      </c>
      <c r="X62" s="18"/>
      <c r="AB62" s="1" t="str">
        <f t="shared" si="1"/>
        <v>['V40', 'V40', '1306 ( CROMADO Ó BRONCE VIEJO )', 0, 'Pza.'],</v>
      </c>
    </row>
    <row r="63" spans="1:28" s="1" customFormat="1" ht="28.8" x14ac:dyDescent="0.3">
      <c r="A63" s="73">
        <v>57</v>
      </c>
      <c r="B63" s="11" t="s">
        <v>72</v>
      </c>
      <c r="C63" s="11" t="s">
        <v>72</v>
      </c>
      <c r="D63" s="82" t="s">
        <v>378</v>
      </c>
      <c r="E63" s="35" t="s">
        <v>24</v>
      </c>
      <c r="F63" s="93" t="s">
        <v>655</v>
      </c>
      <c r="G63" s="93" t="s">
        <v>655</v>
      </c>
      <c r="H63" s="94" t="s">
        <v>656</v>
      </c>
      <c r="I63" s="94" t="s">
        <v>657</v>
      </c>
      <c r="J63" s="94" t="s">
        <v>658</v>
      </c>
      <c r="K63" s="94" t="s">
        <v>1025</v>
      </c>
      <c r="L63" s="14" t="s">
        <v>1398</v>
      </c>
      <c r="M63" s="36" t="s">
        <v>1430</v>
      </c>
      <c r="N63" s="36" t="s">
        <v>1430</v>
      </c>
      <c r="O63" s="36" t="s">
        <v>1430</v>
      </c>
      <c r="P63" s="36" t="s">
        <v>1430</v>
      </c>
      <c r="Q63" s="36" t="s">
        <v>1430</v>
      </c>
      <c r="R63" s="36" t="s">
        <v>1430</v>
      </c>
      <c r="S63" s="36" t="s">
        <v>1430</v>
      </c>
      <c r="T63" s="36" t="s">
        <v>1430</v>
      </c>
      <c r="U63" s="1" t="s">
        <v>1160</v>
      </c>
      <c r="V63" s="15" t="s">
        <v>1487</v>
      </c>
      <c r="W63" s="18" t="str">
        <f t="shared" si="0"/>
        <v xml:space="preserve">['V41', 'V41', '1310 ( CROMADO Ó BRONCE VIEJO )', 'Pza.', 7.15, 7.15, 8.15, 7.87, 8.52, 8.23, 'Alvicruz + 0.15 transp - cbba -  - 7 - santa puej - puestos S.C. - ', 0.00, 0.00, 0.00, 0.00, 0.00, 0.00, 0.00, 0.00], </v>
      </c>
      <c r="X63" s="18"/>
      <c r="AB63" s="1" t="str">
        <f t="shared" si="1"/>
        <v>['V41', 'V41', '1310 ( CROMADO Ó BRONCE VIEJO )', 0, 'Pza.'],</v>
      </c>
    </row>
    <row r="64" spans="1:28" s="1" customFormat="1" ht="28.8" x14ac:dyDescent="0.3">
      <c r="A64" s="73">
        <v>58</v>
      </c>
      <c r="B64" s="11" t="s">
        <v>73</v>
      </c>
      <c r="C64" s="11" t="s">
        <v>73</v>
      </c>
      <c r="D64" s="82" t="s">
        <v>379</v>
      </c>
      <c r="E64" s="35" t="s">
        <v>24</v>
      </c>
      <c r="F64" s="93" t="s">
        <v>659</v>
      </c>
      <c r="G64" s="93" t="s">
        <v>659</v>
      </c>
      <c r="H64" s="94" t="s">
        <v>660</v>
      </c>
      <c r="I64" s="94" t="s">
        <v>661</v>
      </c>
      <c r="J64" s="94" t="s">
        <v>662</v>
      </c>
      <c r="K64" s="94" t="s">
        <v>1026</v>
      </c>
      <c r="L64" s="14" t="s">
        <v>1399</v>
      </c>
      <c r="M64" s="36" t="s">
        <v>1430</v>
      </c>
      <c r="N64" s="36" t="s">
        <v>1430</v>
      </c>
      <c r="O64" s="36" t="s">
        <v>1430</v>
      </c>
      <c r="P64" s="36" t="s">
        <v>1430</v>
      </c>
      <c r="Q64" s="36" t="s">
        <v>1430</v>
      </c>
      <c r="R64" s="36" t="s">
        <v>1430</v>
      </c>
      <c r="S64" s="36" t="s">
        <v>1430</v>
      </c>
      <c r="T64" s="36" t="s">
        <v>1430</v>
      </c>
      <c r="U64" s="1" t="s">
        <v>1161</v>
      </c>
      <c r="V64" s="15" t="s">
        <v>1488</v>
      </c>
      <c r="W64" s="18" t="str">
        <f t="shared" si="0"/>
        <v xml:space="preserve">['V42', 'V42', '1316 ( CROMADO Ó BRONCE VIEJO )', 'Pza.', 8.95, 8.95, 10.2, 9.85, 10.67, 10.3, 'Alvicruz + 0.15 transp - cbba -  - 8.8 - santa puej - puestos S.C. - ', 0.00, 0.00, 0.00, 0.00, 0.00, 0.00, 0.00, 0.00], </v>
      </c>
      <c r="X64" s="18"/>
      <c r="AB64" s="1" t="str">
        <f t="shared" si="1"/>
        <v>['V42', 'V42', '1316 ( CROMADO Ó BRONCE VIEJO )', 0, 'Pza.'],</v>
      </c>
    </row>
    <row r="65" spans="1:28" s="1" customFormat="1" ht="28.8" x14ac:dyDescent="0.3">
      <c r="A65" s="73">
        <v>59</v>
      </c>
      <c r="B65" s="11" t="s">
        <v>74</v>
      </c>
      <c r="C65" s="11" t="s">
        <v>74</v>
      </c>
      <c r="D65" s="82" t="s">
        <v>380</v>
      </c>
      <c r="E65" s="35" t="s">
        <v>24</v>
      </c>
      <c r="F65" s="93" t="s">
        <v>664</v>
      </c>
      <c r="G65" s="93" t="s">
        <v>664</v>
      </c>
      <c r="H65" s="94" t="s">
        <v>665</v>
      </c>
      <c r="I65" s="94" t="s">
        <v>666</v>
      </c>
      <c r="J65" s="94" t="s">
        <v>667</v>
      </c>
      <c r="K65" s="94" t="s">
        <v>1027</v>
      </c>
      <c r="L65" s="14" t="s">
        <v>1400</v>
      </c>
      <c r="M65" s="36" t="s">
        <v>1430</v>
      </c>
      <c r="N65" s="36" t="s">
        <v>1430</v>
      </c>
      <c r="O65" s="36" t="s">
        <v>1430</v>
      </c>
      <c r="P65" s="36" t="s">
        <v>1430</v>
      </c>
      <c r="Q65" s="36" t="s">
        <v>1430</v>
      </c>
      <c r="R65" s="36" t="s">
        <v>1430</v>
      </c>
      <c r="S65" s="36" t="s">
        <v>1430</v>
      </c>
      <c r="T65" s="36" t="s">
        <v>1430</v>
      </c>
      <c r="U65" s="1" t="s">
        <v>1162</v>
      </c>
      <c r="V65" s="15" t="s">
        <v>1489</v>
      </c>
      <c r="W65" s="18" t="str">
        <f t="shared" si="0"/>
        <v xml:space="preserve">['V43', 'V43', '1319 ( CROMADO Ó BRONCE VIEJO )', 'Pza.', 20.15, 20.15, 22.96, 22.17, 24.01, 23.18, 'Alvicruz + 0.15 transp - cbba -  - 20 - santa puej - puestos S.C. - ', 0.00, 0.00, 0.00, 0.00, 0.00, 0.00, 0.00, 0.00], </v>
      </c>
      <c r="X65" s="18"/>
      <c r="AB65" s="1" t="str">
        <f t="shared" si="1"/>
        <v>['V43', 'V43', '1319 ( CROMADO Ó BRONCE VIEJO )', 0, 'Pza.'],</v>
      </c>
    </row>
    <row r="66" spans="1:28" s="1" customFormat="1" ht="28.8" x14ac:dyDescent="0.3">
      <c r="A66" s="73">
        <v>60</v>
      </c>
      <c r="B66" s="11" t="s">
        <v>75</v>
      </c>
      <c r="C66" s="11" t="s">
        <v>75</v>
      </c>
      <c r="D66" s="82" t="s">
        <v>381</v>
      </c>
      <c r="E66" s="35" t="s">
        <v>24</v>
      </c>
      <c r="F66" s="93" t="s">
        <v>624</v>
      </c>
      <c r="G66" s="93" t="s">
        <v>624</v>
      </c>
      <c r="H66" s="94" t="s">
        <v>625</v>
      </c>
      <c r="I66" s="94" t="s">
        <v>522</v>
      </c>
      <c r="J66" s="94" t="s">
        <v>502</v>
      </c>
      <c r="K66" s="94" t="s">
        <v>1020</v>
      </c>
      <c r="L66" s="14" t="s">
        <v>1390</v>
      </c>
      <c r="M66" s="36" t="s">
        <v>1430</v>
      </c>
      <c r="N66" s="36" t="s">
        <v>1430</v>
      </c>
      <c r="O66" s="36" t="s">
        <v>1430</v>
      </c>
      <c r="P66" s="36" t="s">
        <v>1430</v>
      </c>
      <c r="Q66" s="36" t="s">
        <v>1430</v>
      </c>
      <c r="R66" s="36" t="s">
        <v>1430</v>
      </c>
      <c r="S66" s="36" t="s">
        <v>1430</v>
      </c>
      <c r="T66" s="36" t="s">
        <v>1430</v>
      </c>
      <c r="U66" s="1" t="s">
        <v>1163</v>
      </c>
      <c r="V66" s="15" t="s">
        <v>1490</v>
      </c>
      <c r="W66" s="18" t="str">
        <f t="shared" si="0"/>
        <v xml:space="preserve">['V44', 'V44', '1329 ( CROMADO Ó BRONCE VIEJO )', 'Pza.', 3.65, 3.65, 4.16, 4.02, 4.35, 4.2, 'Alvicruz + 0.15 transp - cbba -  - 3.5 - santa puej - puestos S.C. - ', 0.00, 0.00, 0.00, 0.00, 0.00, 0.00, 0.00, 0.00], </v>
      </c>
      <c r="X66" s="18"/>
      <c r="AB66" s="1" t="str">
        <f t="shared" ref="AB66:AB128" si="2">CONCATENATE("['",B66,"', '",C66,"', '",D66,"', ",0,", '",E66,"'],")</f>
        <v>['V44', 'V44', '1329 ( CROMADO Ó BRONCE VIEJO )', 0, 'Pza.'],</v>
      </c>
    </row>
    <row r="67" spans="1:28" s="1" customFormat="1" ht="28.8" x14ac:dyDescent="0.3">
      <c r="A67" s="73">
        <v>61</v>
      </c>
      <c r="B67" s="11" t="s">
        <v>76</v>
      </c>
      <c r="C67" s="11" t="s">
        <v>76</v>
      </c>
      <c r="D67" s="82" t="s">
        <v>382</v>
      </c>
      <c r="E67" s="35" t="s">
        <v>24</v>
      </c>
      <c r="F67" s="93" t="s">
        <v>668</v>
      </c>
      <c r="G67" s="93" t="s">
        <v>668</v>
      </c>
      <c r="H67" s="94" t="s">
        <v>669</v>
      </c>
      <c r="I67" s="94" t="s">
        <v>670</v>
      </c>
      <c r="J67" s="94" t="s">
        <v>671</v>
      </c>
      <c r="K67" s="94" t="s">
        <v>941</v>
      </c>
      <c r="L67" s="14" t="s">
        <v>1401</v>
      </c>
      <c r="M67" s="36" t="s">
        <v>1430</v>
      </c>
      <c r="N67" s="36" t="s">
        <v>1430</v>
      </c>
      <c r="O67" s="36" t="s">
        <v>1430</v>
      </c>
      <c r="P67" s="36" t="s">
        <v>1430</v>
      </c>
      <c r="Q67" s="36" t="s">
        <v>1430</v>
      </c>
      <c r="R67" s="36" t="s">
        <v>1430</v>
      </c>
      <c r="S67" s="36" t="s">
        <v>1430</v>
      </c>
      <c r="T67" s="36" t="s">
        <v>1430</v>
      </c>
      <c r="U67" s="1" t="s">
        <v>1164</v>
      </c>
      <c r="V67" s="15" t="s">
        <v>1491</v>
      </c>
      <c r="W67" s="18" t="str">
        <f t="shared" si="0"/>
        <v xml:space="preserve">['V45', 'V45', '1335 ( CROMADO Ó BRONCE VIEJO )', 'Pza.', 5.15, 5.15, 5.87, 5.67, 6.14, 5.93, 'Alvicruz + 0.15 transp - cbba -  - 5 - santa puej - puestos S.C. - ', 0.00, 0.00, 0.00, 0.00, 0.00, 0.00, 0.00, 0.00], </v>
      </c>
      <c r="X67" s="18"/>
      <c r="AB67" s="1" t="str">
        <f t="shared" si="2"/>
        <v>['V45', 'V45', '1335 ( CROMADO Ó BRONCE VIEJO )', 0, 'Pza.'],</v>
      </c>
    </row>
    <row r="68" spans="1:28" s="1" customFormat="1" ht="28.8" x14ac:dyDescent="0.3">
      <c r="A68" s="73">
        <v>62</v>
      </c>
      <c r="B68" s="11" t="s">
        <v>77</v>
      </c>
      <c r="C68" s="11" t="s">
        <v>77</v>
      </c>
      <c r="D68" s="82" t="s">
        <v>383</v>
      </c>
      <c r="E68" s="35" t="s">
        <v>24</v>
      </c>
      <c r="F68" s="93" t="s">
        <v>672</v>
      </c>
      <c r="G68" s="93" t="s">
        <v>672</v>
      </c>
      <c r="H68" s="94" t="s">
        <v>673</v>
      </c>
      <c r="I68" s="94" t="s">
        <v>674</v>
      </c>
      <c r="J68" s="94" t="s">
        <v>675</v>
      </c>
      <c r="K68" s="94" t="s">
        <v>1028</v>
      </c>
      <c r="L68" s="14" t="s">
        <v>1402</v>
      </c>
      <c r="M68" s="36" t="s">
        <v>1430</v>
      </c>
      <c r="N68" s="36" t="s">
        <v>1430</v>
      </c>
      <c r="O68" s="36" t="s">
        <v>1430</v>
      </c>
      <c r="P68" s="36" t="s">
        <v>1430</v>
      </c>
      <c r="Q68" s="36" t="s">
        <v>1430</v>
      </c>
      <c r="R68" s="36" t="s">
        <v>1430</v>
      </c>
      <c r="S68" s="36" t="s">
        <v>1430</v>
      </c>
      <c r="T68" s="36" t="s">
        <v>1430</v>
      </c>
      <c r="U68" s="1" t="s">
        <v>1165</v>
      </c>
      <c r="V68" s="15" t="s">
        <v>1492</v>
      </c>
      <c r="W68" s="18" t="str">
        <f t="shared" si="0"/>
        <v xml:space="preserve">['V46', 'V46', '1335-C ( CROMADO Ó BRONCE VIEJO )', 'Pza.', 4.65, 4.65, 5.3, 5.12, 5.54, 5.35, 'Alvicruz + 0.15 transp - cbba -  - 4.5 - santa puej - puestos S.C. - ', 0.00, 0.00, 0.00, 0.00, 0.00, 0.00, 0.00, 0.00], </v>
      </c>
      <c r="X68" s="18"/>
      <c r="AB68" s="1" t="str">
        <f t="shared" si="2"/>
        <v>['V46', 'V46', '1335-C ( CROMADO Ó BRONCE VIEJO )', 0, 'Pza.'],</v>
      </c>
    </row>
    <row r="69" spans="1:28" s="1" customFormat="1" ht="28.8" x14ac:dyDescent="0.3">
      <c r="A69" s="73">
        <v>63</v>
      </c>
      <c r="B69" s="11" t="s">
        <v>78</v>
      </c>
      <c r="C69" s="11" t="s">
        <v>78</v>
      </c>
      <c r="D69" s="82" t="s">
        <v>384</v>
      </c>
      <c r="E69" s="35" t="s">
        <v>24</v>
      </c>
      <c r="F69" s="93" t="s">
        <v>676</v>
      </c>
      <c r="G69" s="93" t="s">
        <v>676</v>
      </c>
      <c r="H69" s="94" t="s">
        <v>677</v>
      </c>
      <c r="I69" s="94" t="s">
        <v>678</v>
      </c>
      <c r="J69" s="94" t="s">
        <v>640</v>
      </c>
      <c r="K69" s="94" t="s">
        <v>821</v>
      </c>
      <c r="L69" s="14" t="s">
        <v>1403</v>
      </c>
      <c r="M69" s="36" t="s">
        <v>1430</v>
      </c>
      <c r="N69" s="36" t="s">
        <v>1430</v>
      </c>
      <c r="O69" s="36" t="s">
        <v>1430</v>
      </c>
      <c r="P69" s="36" t="s">
        <v>1430</v>
      </c>
      <c r="Q69" s="36" t="s">
        <v>1430</v>
      </c>
      <c r="R69" s="36" t="s">
        <v>1430</v>
      </c>
      <c r="S69" s="36" t="s">
        <v>1430</v>
      </c>
      <c r="T69" s="36" t="s">
        <v>1430</v>
      </c>
      <c r="U69" s="1" t="s">
        <v>1166</v>
      </c>
      <c r="V69" s="15" t="s">
        <v>1493</v>
      </c>
      <c r="W69" s="18" t="str">
        <f t="shared" si="0"/>
        <v xml:space="preserve">['V47', 'V47', '1504 ( CROMADO Ó BRONCE VIEJO )', 'Pza.', 1.95, 1.95, 2.23, 2.15, 2.33, 2.25, 'Alvicruz + 0.15 transp - cbba -  - 1.8 - santa puej - puestos S.C. - ', 0.00, 0.00, 0.00, 0.00, 0.00, 0.00, 0.00, 0.00], </v>
      </c>
      <c r="X69" s="18"/>
      <c r="AB69" s="1" t="str">
        <f t="shared" si="2"/>
        <v>['V47', 'V47', '1504 ( CROMADO Ó BRONCE VIEJO )', 0, 'Pza.'],</v>
      </c>
    </row>
    <row r="70" spans="1:28" s="1" customFormat="1" ht="28.8" x14ac:dyDescent="0.3">
      <c r="A70" s="73">
        <v>64</v>
      </c>
      <c r="B70" s="11" t="s">
        <v>79</v>
      </c>
      <c r="C70" s="11" t="s">
        <v>79</v>
      </c>
      <c r="D70" s="82" t="s">
        <v>385</v>
      </c>
      <c r="E70" s="35" t="s">
        <v>24</v>
      </c>
      <c r="F70" s="93" t="s">
        <v>679</v>
      </c>
      <c r="G70" s="93" t="s">
        <v>679</v>
      </c>
      <c r="H70" s="94" t="s">
        <v>680</v>
      </c>
      <c r="I70" s="94" t="s">
        <v>681</v>
      </c>
      <c r="J70" s="94" t="s">
        <v>682</v>
      </c>
      <c r="K70" s="94" t="s">
        <v>1029</v>
      </c>
      <c r="L70" s="14" t="s">
        <v>1404</v>
      </c>
      <c r="M70" s="36" t="s">
        <v>1430</v>
      </c>
      <c r="N70" s="36" t="s">
        <v>1430</v>
      </c>
      <c r="O70" s="36" t="s">
        <v>1430</v>
      </c>
      <c r="P70" s="36" t="s">
        <v>1430</v>
      </c>
      <c r="Q70" s="36" t="s">
        <v>1430</v>
      </c>
      <c r="R70" s="36" t="s">
        <v>1430</v>
      </c>
      <c r="S70" s="36" t="s">
        <v>1430</v>
      </c>
      <c r="T70" s="36" t="s">
        <v>1430</v>
      </c>
      <c r="U70" s="1" t="s">
        <v>1167</v>
      </c>
      <c r="V70" s="15" t="s">
        <v>1494</v>
      </c>
      <c r="W70" s="18" t="str">
        <f t="shared" si="0"/>
        <v xml:space="preserve">['V48', 'V48', '1510 ( CROMADO Ó BRONCE VIEJO )', 'Pza.', 18.15, 18.15, 20.68, 19.97, 21.62, 20.88, 'Alvicruz + 0.15 transp - cbba -  - 18 - santa puej - puestos S.C. - ', 0.00, 0.00, 0.00, 0.00, 0.00, 0.00, 0.00, 0.00], </v>
      </c>
      <c r="X70" s="18"/>
      <c r="AB70" s="1" t="str">
        <f t="shared" si="2"/>
        <v>['V48', 'V48', '1510 ( CROMADO Ó BRONCE VIEJO )', 0, 'Pza.'],</v>
      </c>
    </row>
    <row r="71" spans="1:28" s="1" customFormat="1" ht="28.8" x14ac:dyDescent="0.3">
      <c r="A71" s="73">
        <v>65</v>
      </c>
      <c r="B71" s="11" t="s">
        <v>80</v>
      </c>
      <c r="C71" s="11" t="s">
        <v>80</v>
      </c>
      <c r="D71" s="82" t="s">
        <v>386</v>
      </c>
      <c r="E71" s="35" t="s">
        <v>24</v>
      </c>
      <c r="F71" s="93" t="s">
        <v>684</v>
      </c>
      <c r="G71" s="93" t="s">
        <v>684</v>
      </c>
      <c r="H71" s="94">
        <v>11</v>
      </c>
      <c r="I71" s="94" t="s">
        <v>685</v>
      </c>
      <c r="J71" s="94" t="s">
        <v>686</v>
      </c>
      <c r="K71" s="94" t="s">
        <v>1030</v>
      </c>
      <c r="L71" s="14" t="s">
        <v>1405</v>
      </c>
      <c r="M71" s="36" t="s">
        <v>1430</v>
      </c>
      <c r="N71" s="36" t="s">
        <v>1430</v>
      </c>
      <c r="O71" s="36" t="s">
        <v>1430</v>
      </c>
      <c r="P71" s="36" t="s">
        <v>1430</v>
      </c>
      <c r="Q71" s="36" t="s">
        <v>1430</v>
      </c>
      <c r="R71" s="36" t="s">
        <v>1430</v>
      </c>
      <c r="S71" s="36" t="s">
        <v>1430</v>
      </c>
      <c r="T71" s="36" t="s">
        <v>1430</v>
      </c>
      <c r="U71" s="1" t="s">
        <v>1168</v>
      </c>
      <c r="V71" s="15" t="s">
        <v>1495</v>
      </c>
      <c r="W71" s="18" t="str">
        <f t="shared" si="0"/>
        <v xml:space="preserve">['V49', 'V49', '1511 ( CROMADO Ó BRONCE VIEJO )', 'Pza.', 9.65, 9.65, 11, 10.62, 11.5, 11.1, 'Alvicruz + 0.15 transp - cbba -  - 9.5 - santa puej - puestos S.C. - ', 0.00, 0.00, 0.00, 0.00, 0.00, 0.00, 0.00, 0.00], </v>
      </c>
      <c r="X71" s="18"/>
      <c r="AB71" s="1" t="str">
        <f t="shared" si="2"/>
        <v>['V49', 'V49', '1511 ( CROMADO Ó BRONCE VIEJO )', 0, 'Pza.'],</v>
      </c>
    </row>
    <row r="72" spans="1:28" s="1" customFormat="1" ht="28.8" x14ac:dyDescent="0.3">
      <c r="A72" s="73">
        <v>66</v>
      </c>
      <c r="B72" s="11" t="s">
        <v>81</v>
      </c>
      <c r="C72" s="11" t="s">
        <v>81</v>
      </c>
      <c r="D72" s="82" t="s">
        <v>387</v>
      </c>
      <c r="E72" s="35" t="s">
        <v>24</v>
      </c>
      <c r="F72" s="93" t="s">
        <v>678</v>
      </c>
      <c r="G72" s="93" t="s">
        <v>678</v>
      </c>
      <c r="H72" s="94" t="s">
        <v>687</v>
      </c>
      <c r="I72" s="94" t="s">
        <v>688</v>
      </c>
      <c r="J72" s="94" t="s">
        <v>689</v>
      </c>
      <c r="K72" s="94" t="s">
        <v>1031</v>
      </c>
      <c r="L72" s="14" t="s">
        <v>1406</v>
      </c>
      <c r="M72" s="36" t="s">
        <v>1430</v>
      </c>
      <c r="N72" s="36" t="s">
        <v>1430</v>
      </c>
      <c r="O72" s="36" t="s">
        <v>1430</v>
      </c>
      <c r="P72" s="36" t="s">
        <v>1430</v>
      </c>
      <c r="Q72" s="36" t="s">
        <v>1430</v>
      </c>
      <c r="R72" s="36" t="s">
        <v>1430</v>
      </c>
      <c r="S72" s="36" t="s">
        <v>1430</v>
      </c>
      <c r="T72" s="36" t="s">
        <v>1430</v>
      </c>
      <c r="U72" s="1" t="s">
        <v>1169</v>
      </c>
      <c r="V72" s="15" t="s">
        <v>1496</v>
      </c>
      <c r="W72" s="18" t="str">
        <f t="shared" ref="W72:W135" si="3">CONCATENATE("['",B72,"', '",C72,"', '",D72,"', '",E72,"', ",F72,", ",G72,", ",H72,", ",I72,", ",J72,", ",K72,", '",L72,"', ",M72,", ",N72,", ",O72,", ",P72,", ",Q72,", ",R72,", ",S72,", ",T72,"], ")</f>
        <v xml:space="preserve">['V50', 'V50', '1511-A ( CROMADO Ó BRONCE VIEJO )', 'Pza.', 2.15, 2.15, 2.45, 2.37, 2.57, 2.48, 'Alvicruz + 0.15 transp - cbba -  - 2 - santa puej - puestos S.C. - ', 0.00, 0.00, 0.00, 0.00, 0.00, 0.00, 0.00, 0.00], </v>
      </c>
      <c r="X72" s="18"/>
      <c r="AB72" s="1" t="str">
        <f t="shared" si="2"/>
        <v>['V50', 'V50', '1511-A ( CROMADO Ó BRONCE VIEJO )', 0, 'Pza.'],</v>
      </c>
    </row>
    <row r="73" spans="1:28" s="1" customFormat="1" ht="28.8" x14ac:dyDescent="0.3">
      <c r="A73" s="73">
        <v>67</v>
      </c>
      <c r="B73" s="11" t="s">
        <v>82</v>
      </c>
      <c r="C73" s="11" t="s">
        <v>82</v>
      </c>
      <c r="D73" s="82" t="s">
        <v>388</v>
      </c>
      <c r="E73" s="35" t="s">
        <v>24</v>
      </c>
      <c r="F73" s="93" t="s">
        <v>690</v>
      </c>
      <c r="G73" s="93" t="s">
        <v>690</v>
      </c>
      <c r="H73" s="94" t="s">
        <v>691</v>
      </c>
      <c r="I73" s="94" t="s">
        <v>692</v>
      </c>
      <c r="J73" s="94" t="s">
        <v>693</v>
      </c>
      <c r="K73" s="94" t="s">
        <v>1032</v>
      </c>
      <c r="L73" s="14" t="s">
        <v>1407</v>
      </c>
      <c r="M73" s="36" t="s">
        <v>1430</v>
      </c>
      <c r="N73" s="36" t="s">
        <v>1430</v>
      </c>
      <c r="O73" s="36" t="s">
        <v>1430</v>
      </c>
      <c r="P73" s="36" t="s">
        <v>1430</v>
      </c>
      <c r="Q73" s="36" t="s">
        <v>1430</v>
      </c>
      <c r="R73" s="36" t="s">
        <v>1430</v>
      </c>
      <c r="S73" s="36" t="s">
        <v>1430</v>
      </c>
      <c r="T73" s="36" t="s">
        <v>1430</v>
      </c>
      <c r="U73" s="1" t="s">
        <v>1170</v>
      </c>
      <c r="V73" s="15" t="s">
        <v>1497</v>
      </c>
      <c r="W73" s="18" t="str">
        <f t="shared" si="3"/>
        <v xml:space="preserve">['V51', 'V51', '1520 ( CROMADO Ó BRONCE VIEJO )', 'Pza.', 14.15, 14.15, 16.13, 15.57, 16.86, 16.28, 'Alvicruz + 0.15 transp - cbba -  - 14 - santa puej - puestos S.C. - ', 0.00, 0.00, 0.00, 0.00, 0.00, 0.00, 0.00, 0.00], </v>
      </c>
      <c r="X73" s="18"/>
      <c r="AB73" s="1" t="str">
        <f t="shared" si="2"/>
        <v>['V51', 'V51', '1520 ( CROMADO Ó BRONCE VIEJO )', 0, 'Pza.'],</v>
      </c>
    </row>
    <row r="74" spans="1:28" s="1" customFormat="1" ht="28.8" x14ac:dyDescent="0.3">
      <c r="A74" s="73">
        <v>68</v>
      </c>
      <c r="B74" s="11" t="s">
        <v>83</v>
      </c>
      <c r="C74" s="11" t="s">
        <v>83</v>
      </c>
      <c r="D74" s="82" t="s">
        <v>389</v>
      </c>
      <c r="E74" s="35" t="s">
        <v>24</v>
      </c>
      <c r="F74" s="93" t="s">
        <v>694</v>
      </c>
      <c r="G74" s="93" t="s">
        <v>694</v>
      </c>
      <c r="H74" s="94" t="s">
        <v>695</v>
      </c>
      <c r="I74" s="94" t="s">
        <v>696</v>
      </c>
      <c r="J74" s="94" t="s">
        <v>697</v>
      </c>
      <c r="K74" s="94" t="s">
        <v>1033</v>
      </c>
      <c r="L74" s="14" t="s">
        <v>1408</v>
      </c>
      <c r="M74" s="36" t="s">
        <v>1430</v>
      </c>
      <c r="N74" s="36" t="s">
        <v>1430</v>
      </c>
      <c r="O74" s="36" t="s">
        <v>1430</v>
      </c>
      <c r="P74" s="36" t="s">
        <v>1430</v>
      </c>
      <c r="Q74" s="36" t="s">
        <v>1430</v>
      </c>
      <c r="R74" s="36" t="s">
        <v>1430</v>
      </c>
      <c r="S74" s="36" t="s">
        <v>1430</v>
      </c>
      <c r="T74" s="36" t="s">
        <v>1430</v>
      </c>
      <c r="U74" s="1" t="s">
        <v>1171</v>
      </c>
      <c r="V74" s="15" t="s">
        <v>1498</v>
      </c>
      <c r="W74" s="18" t="str">
        <f t="shared" si="3"/>
        <v xml:space="preserve">['V52', 'V52', '1523 ( CROMADO Ó BRONCE VIEJO )', 'Pza.', 6.15, 6.15, 7.01, 6.77, 7.33, 7.08, 'Alvicruz + 0.15 transp - cbba -  - 6 - santa puej - puestos S.C. - ', 0.00, 0.00, 0.00, 0.00, 0.00, 0.00, 0.00, 0.00], </v>
      </c>
      <c r="X74" s="18"/>
      <c r="AB74" s="1" t="str">
        <f t="shared" si="2"/>
        <v>['V52', 'V52', '1523 ( CROMADO Ó BRONCE VIEJO )', 0, 'Pza.'],</v>
      </c>
    </row>
    <row r="75" spans="1:28" s="1" customFormat="1" ht="28.8" x14ac:dyDescent="0.3">
      <c r="A75" s="73">
        <v>69</v>
      </c>
      <c r="B75" s="11" t="s">
        <v>84</v>
      </c>
      <c r="C75" s="11" t="s">
        <v>84</v>
      </c>
      <c r="D75" s="82" t="s">
        <v>390</v>
      </c>
      <c r="E75" s="35" t="s">
        <v>24</v>
      </c>
      <c r="F75" s="93" t="s">
        <v>694</v>
      </c>
      <c r="G75" s="93" t="s">
        <v>694</v>
      </c>
      <c r="H75" s="94" t="s">
        <v>695</v>
      </c>
      <c r="I75" s="94" t="s">
        <v>696</v>
      </c>
      <c r="J75" s="94" t="s">
        <v>697</v>
      </c>
      <c r="K75" s="94" t="s">
        <v>1033</v>
      </c>
      <c r="L75" s="14" t="s">
        <v>1408</v>
      </c>
      <c r="M75" s="36" t="s">
        <v>1430</v>
      </c>
      <c r="N75" s="36" t="s">
        <v>1430</v>
      </c>
      <c r="O75" s="36" t="s">
        <v>1430</v>
      </c>
      <c r="P75" s="36" t="s">
        <v>1430</v>
      </c>
      <c r="Q75" s="36" t="s">
        <v>1430</v>
      </c>
      <c r="R75" s="36" t="s">
        <v>1430</v>
      </c>
      <c r="S75" s="36" t="s">
        <v>1430</v>
      </c>
      <c r="T75" s="36" t="s">
        <v>1430</v>
      </c>
      <c r="U75" s="1" t="s">
        <v>1172</v>
      </c>
      <c r="V75" s="15" t="s">
        <v>1499</v>
      </c>
      <c r="W75" s="18" t="str">
        <f t="shared" si="3"/>
        <v xml:space="preserve">['V53', 'V53', '1531 ( CROMADO Ó BRONCE VIEJO )', 'Pza.', 6.15, 6.15, 7.01, 6.77, 7.33, 7.08, 'Alvicruz + 0.15 transp - cbba -  - 6 - santa puej - puestos S.C. - ', 0.00, 0.00, 0.00, 0.00, 0.00, 0.00, 0.00, 0.00], </v>
      </c>
      <c r="X75" s="18"/>
      <c r="AB75" s="1" t="str">
        <f t="shared" si="2"/>
        <v>['V53', 'V53', '1531 ( CROMADO Ó BRONCE VIEJO )', 0, 'Pza.'],</v>
      </c>
    </row>
    <row r="76" spans="1:28" s="1" customFormat="1" ht="28.8" x14ac:dyDescent="0.3">
      <c r="A76" s="73">
        <v>70</v>
      </c>
      <c r="B76" s="11" t="s">
        <v>85</v>
      </c>
      <c r="C76" s="11" t="s">
        <v>85</v>
      </c>
      <c r="D76" s="82" t="s">
        <v>391</v>
      </c>
      <c r="E76" s="35" t="s">
        <v>24</v>
      </c>
      <c r="F76" s="93" t="s">
        <v>678</v>
      </c>
      <c r="G76" s="93" t="s">
        <v>678</v>
      </c>
      <c r="H76" s="94" t="s">
        <v>687</v>
      </c>
      <c r="I76" s="94" t="s">
        <v>688</v>
      </c>
      <c r="J76" s="94" t="s">
        <v>689</v>
      </c>
      <c r="K76" s="94" t="s">
        <v>1031</v>
      </c>
      <c r="L76" s="14" t="s">
        <v>1406</v>
      </c>
      <c r="M76" s="36" t="s">
        <v>1430</v>
      </c>
      <c r="N76" s="36" t="s">
        <v>1430</v>
      </c>
      <c r="O76" s="36" t="s">
        <v>1430</v>
      </c>
      <c r="P76" s="36" t="s">
        <v>1430</v>
      </c>
      <c r="Q76" s="36" t="s">
        <v>1430</v>
      </c>
      <c r="R76" s="36" t="s">
        <v>1430</v>
      </c>
      <c r="S76" s="36" t="s">
        <v>1430</v>
      </c>
      <c r="T76" s="36" t="s">
        <v>1430</v>
      </c>
      <c r="U76" s="1" t="s">
        <v>1173</v>
      </c>
      <c r="V76" s="15" t="s">
        <v>1500</v>
      </c>
      <c r="W76" s="18" t="str">
        <f t="shared" si="3"/>
        <v xml:space="preserve">['V54', 'V54', '1629-J ( CROMADO Ó BRONCE VIEJO )', 'Pza.', 2.15, 2.15, 2.45, 2.37, 2.57, 2.48, 'Alvicruz + 0.15 transp - cbba -  - 2 - santa puej - puestos S.C. - ', 0.00, 0.00, 0.00, 0.00, 0.00, 0.00, 0.00, 0.00], </v>
      </c>
      <c r="X76" s="18"/>
      <c r="AB76" s="1" t="str">
        <f t="shared" si="2"/>
        <v>['V54', 'V54', '1629-J ( CROMADO Ó BRONCE VIEJO )', 0, 'Pza.'],</v>
      </c>
    </row>
    <row r="77" spans="1:28" s="1" customFormat="1" ht="28.8" x14ac:dyDescent="0.3">
      <c r="A77" s="73">
        <v>71</v>
      </c>
      <c r="B77" s="11" t="s">
        <v>86</v>
      </c>
      <c r="C77" s="11" t="s">
        <v>86</v>
      </c>
      <c r="D77" s="82" t="s">
        <v>392</v>
      </c>
      <c r="E77" s="35" t="s">
        <v>24</v>
      </c>
      <c r="F77" s="93" t="s">
        <v>631</v>
      </c>
      <c r="G77" s="93" t="s">
        <v>631</v>
      </c>
      <c r="H77" s="94" t="s">
        <v>632</v>
      </c>
      <c r="I77" s="94" t="s">
        <v>633</v>
      </c>
      <c r="J77" s="94" t="s">
        <v>634</v>
      </c>
      <c r="K77" s="94" t="s">
        <v>1022</v>
      </c>
      <c r="L77" s="14" t="s">
        <v>1392</v>
      </c>
      <c r="M77" s="36" t="s">
        <v>1430</v>
      </c>
      <c r="N77" s="36" t="s">
        <v>1430</v>
      </c>
      <c r="O77" s="36" t="s">
        <v>1430</v>
      </c>
      <c r="P77" s="36" t="s">
        <v>1430</v>
      </c>
      <c r="Q77" s="36" t="s">
        <v>1430</v>
      </c>
      <c r="R77" s="36" t="s">
        <v>1430</v>
      </c>
      <c r="S77" s="36" t="s">
        <v>1430</v>
      </c>
      <c r="T77" s="36" t="s">
        <v>1430</v>
      </c>
      <c r="U77" s="1" t="s">
        <v>1174</v>
      </c>
      <c r="V77" s="15" t="s">
        <v>1501</v>
      </c>
      <c r="W77" s="18" t="str">
        <f t="shared" si="3"/>
        <v xml:space="preserve">['V55', 'V55', '1629-P ( CROMADO Ó BRONCE VIEJO )', 'Pza.', 2.35, 2.35, 2.68, 2.59, 2.8, 2.71, 'Alvicruz + 0.15 transp - cbba -  - 2.2 - santa puej - puestos S.C. - ', 0.00, 0.00, 0.00, 0.00, 0.00, 0.00, 0.00, 0.00], </v>
      </c>
      <c r="X77" s="18"/>
      <c r="AB77" s="1" t="str">
        <f t="shared" si="2"/>
        <v>['V55', 'V55', '1629-P ( CROMADO Ó BRONCE VIEJO )', 0, 'Pza.'],</v>
      </c>
    </row>
    <row r="78" spans="1:28" s="1" customFormat="1" ht="28.8" x14ac:dyDescent="0.3">
      <c r="A78" s="73">
        <v>72</v>
      </c>
      <c r="B78" s="11" t="s">
        <v>87</v>
      </c>
      <c r="C78" s="11" t="s">
        <v>87</v>
      </c>
      <c r="D78" s="82" t="s">
        <v>393</v>
      </c>
      <c r="E78" s="35" t="s">
        <v>24</v>
      </c>
      <c r="F78" s="93" t="s">
        <v>698</v>
      </c>
      <c r="G78" s="93" t="s">
        <v>698</v>
      </c>
      <c r="H78" s="94" t="s">
        <v>699</v>
      </c>
      <c r="I78" s="94" t="s">
        <v>700</v>
      </c>
      <c r="J78" s="94">
        <v>4</v>
      </c>
      <c r="K78" s="94" t="s">
        <v>1034</v>
      </c>
      <c r="L78" s="14" t="s">
        <v>1409</v>
      </c>
      <c r="M78" s="36" t="s">
        <v>1430</v>
      </c>
      <c r="N78" s="36" t="s">
        <v>1430</v>
      </c>
      <c r="O78" s="36" t="s">
        <v>1430</v>
      </c>
      <c r="P78" s="36" t="s">
        <v>1430</v>
      </c>
      <c r="Q78" s="36" t="s">
        <v>1430</v>
      </c>
      <c r="R78" s="36" t="s">
        <v>1430</v>
      </c>
      <c r="S78" s="36" t="s">
        <v>1430</v>
      </c>
      <c r="T78" s="36" t="s">
        <v>1430</v>
      </c>
      <c r="U78" s="1" t="s">
        <v>1175</v>
      </c>
      <c r="V78" s="15" t="s">
        <v>1502</v>
      </c>
      <c r="W78" s="18" t="str">
        <f t="shared" si="3"/>
        <v xml:space="preserve">['V56', 'V56', '1636-AL ( CROMADO Ó BRONCE VIEJO )', 'Pza.', 3.35, 3.35, 3.82, 3.69, 4, 3.86, 'Alvicruz + 0.15 transp - cbba -  - 3.2 - santa puej - puestos S.C. - ', 0.00, 0.00, 0.00, 0.00, 0.00, 0.00, 0.00, 0.00], </v>
      </c>
      <c r="X78" s="18"/>
      <c r="AB78" s="1" t="str">
        <f t="shared" si="2"/>
        <v>['V56', 'V56', '1636-AL ( CROMADO Ó BRONCE VIEJO )', 0, 'Pza.'],</v>
      </c>
    </row>
    <row r="79" spans="1:28" s="1" customFormat="1" ht="28.8" x14ac:dyDescent="0.3">
      <c r="A79" s="73">
        <v>73</v>
      </c>
      <c r="B79" s="11" t="s">
        <v>88</v>
      </c>
      <c r="C79" s="11" t="s">
        <v>88</v>
      </c>
      <c r="D79" s="82" t="s">
        <v>394</v>
      </c>
      <c r="E79" s="35" t="s">
        <v>24</v>
      </c>
      <c r="F79" s="93" t="s">
        <v>701</v>
      </c>
      <c r="G79" s="93" t="s">
        <v>701</v>
      </c>
      <c r="H79" s="94" t="s">
        <v>702</v>
      </c>
      <c r="I79" s="94" t="s">
        <v>703</v>
      </c>
      <c r="J79" s="94" t="s">
        <v>704</v>
      </c>
      <c r="K79" s="94" t="s">
        <v>1035</v>
      </c>
      <c r="L79" s="14" t="s">
        <v>1410</v>
      </c>
      <c r="M79" s="36" t="s">
        <v>1430</v>
      </c>
      <c r="N79" s="36" t="s">
        <v>1430</v>
      </c>
      <c r="O79" s="36" t="s">
        <v>1430</v>
      </c>
      <c r="P79" s="36" t="s">
        <v>1430</v>
      </c>
      <c r="Q79" s="36" t="s">
        <v>1430</v>
      </c>
      <c r="R79" s="36" t="s">
        <v>1430</v>
      </c>
      <c r="S79" s="36" t="s">
        <v>1430</v>
      </c>
      <c r="T79" s="36" t="s">
        <v>1430</v>
      </c>
      <c r="U79" s="1" t="s">
        <v>1176</v>
      </c>
      <c r="V79" s="15" t="s">
        <v>1503</v>
      </c>
      <c r="W79" s="18" t="str">
        <f t="shared" si="3"/>
        <v xml:space="preserve">['V57', 'V57', '1800 ( CROMADO Ó BRONCE VIEJO )', 'Pza.', 6.35, 6.35, 7.24, 6.99, 7.57, 7.31, 'Alvicruz + 0.15 transp - cbba -  - 6.2 - santa puej - puestos S.C. - ', 0.00, 0.00, 0.00, 0.00, 0.00, 0.00, 0.00, 0.00], </v>
      </c>
      <c r="X79" s="18"/>
      <c r="AB79" s="1" t="str">
        <f t="shared" si="2"/>
        <v>['V57', 'V57', '1800 ( CROMADO Ó BRONCE VIEJO )', 0, 'Pza.'],</v>
      </c>
    </row>
    <row r="80" spans="1:28" s="1" customFormat="1" ht="28.8" x14ac:dyDescent="0.3">
      <c r="A80" s="73">
        <v>74</v>
      </c>
      <c r="B80" s="11" t="s">
        <v>89</v>
      </c>
      <c r="C80" s="11" t="s">
        <v>89</v>
      </c>
      <c r="D80" s="82" t="s">
        <v>395</v>
      </c>
      <c r="E80" s="35" t="s">
        <v>24</v>
      </c>
      <c r="F80" s="93" t="s">
        <v>655</v>
      </c>
      <c r="G80" s="93" t="s">
        <v>655</v>
      </c>
      <c r="H80" s="94" t="s">
        <v>656</v>
      </c>
      <c r="I80" s="94" t="s">
        <v>657</v>
      </c>
      <c r="J80" s="94" t="s">
        <v>658</v>
      </c>
      <c r="K80" s="94" t="s">
        <v>1025</v>
      </c>
      <c r="L80" s="14" t="s">
        <v>1398</v>
      </c>
      <c r="M80" s="36" t="s">
        <v>1430</v>
      </c>
      <c r="N80" s="36" t="s">
        <v>1430</v>
      </c>
      <c r="O80" s="36" t="s">
        <v>1430</v>
      </c>
      <c r="P80" s="36" t="s">
        <v>1430</v>
      </c>
      <c r="Q80" s="36" t="s">
        <v>1430</v>
      </c>
      <c r="R80" s="36" t="s">
        <v>1430</v>
      </c>
      <c r="S80" s="36" t="s">
        <v>1430</v>
      </c>
      <c r="T80" s="36" t="s">
        <v>1430</v>
      </c>
      <c r="U80" s="1" t="s">
        <v>1177</v>
      </c>
      <c r="V80" s="15" t="s">
        <v>1504</v>
      </c>
      <c r="W80" s="18" t="str">
        <f t="shared" si="3"/>
        <v xml:space="preserve">['V58', 'V58', '1800-C ( CROMADO Ó BRONCE VIEJO )', 'Pza.', 7.15, 7.15, 8.15, 7.87, 8.52, 8.23, 'Alvicruz + 0.15 transp - cbba -  - 7 - santa puej - puestos S.C. - ', 0.00, 0.00, 0.00, 0.00, 0.00, 0.00, 0.00, 0.00], </v>
      </c>
      <c r="X80" s="18"/>
      <c r="AB80" s="1" t="str">
        <f t="shared" si="2"/>
        <v>['V58', 'V58', '1800-C ( CROMADO Ó BRONCE VIEJO )', 0, 'Pza.'],</v>
      </c>
    </row>
    <row r="81" spans="1:28" s="1" customFormat="1" ht="28.8" x14ac:dyDescent="0.3">
      <c r="A81" s="73">
        <v>75</v>
      </c>
      <c r="B81" s="11" t="s">
        <v>90</v>
      </c>
      <c r="C81" s="11" t="s">
        <v>90</v>
      </c>
      <c r="D81" s="82" t="s">
        <v>396</v>
      </c>
      <c r="E81" s="35" t="s">
        <v>31</v>
      </c>
      <c r="F81" s="93">
        <v>10</v>
      </c>
      <c r="G81" s="93">
        <v>10</v>
      </c>
      <c r="H81" s="94" t="s">
        <v>705</v>
      </c>
      <c r="I81" s="94">
        <v>11</v>
      </c>
      <c r="J81" s="94" t="s">
        <v>706</v>
      </c>
      <c r="K81" s="94" t="s">
        <v>686</v>
      </c>
      <c r="L81" s="14" t="s">
        <v>270</v>
      </c>
      <c r="M81" s="36" t="s">
        <v>1430</v>
      </c>
      <c r="N81" s="36" t="s">
        <v>1430</v>
      </c>
      <c r="O81" s="36" t="s">
        <v>1430</v>
      </c>
      <c r="P81" s="36" t="s">
        <v>1430</v>
      </c>
      <c r="Q81" s="36" t="s">
        <v>1430</v>
      </c>
      <c r="R81" s="36" t="s">
        <v>1430</v>
      </c>
      <c r="S81" s="36" t="s">
        <v>1430</v>
      </c>
      <c r="T81" s="36" t="s">
        <v>1430</v>
      </c>
      <c r="U81" s="1" t="s">
        <v>1178</v>
      </c>
      <c r="V81" s="15" t="s">
        <v>1505</v>
      </c>
      <c r="W81" s="18" t="str">
        <f t="shared" si="3"/>
        <v xml:space="preserve">['V59', 'V59', 'MANO DE OBRA INSTALACIÒN TEMPLADO', 'Mt²', 10, 10, 11.4, 11, 11.92, 11.5, 'Hilarion -  8 col.+dis. + 2 tec - cbba -  - 8 - santa puej - Sus/mt2 - ', 0.00, 0.00, 0.00, 0.00, 0.00, 0.00, 0.00, 0.00], </v>
      </c>
      <c r="X81" s="18"/>
      <c r="AB81" s="1" t="str">
        <f t="shared" si="2"/>
        <v>['V59', 'V59', 'MANO DE OBRA INSTALACIÒN TEMPLADO', 0, 'Mt²'],</v>
      </c>
    </row>
    <row r="82" spans="1:28" s="1" customFormat="1" ht="28.8" x14ac:dyDescent="0.3">
      <c r="A82" s="73">
        <v>76</v>
      </c>
      <c r="B82" s="11" t="s">
        <v>91</v>
      </c>
      <c r="C82" s="11" t="s">
        <v>91</v>
      </c>
      <c r="D82" s="83" t="s">
        <v>397</v>
      </c>
      <c r="E82" s="37" t="s">
        <v>24</v>
      </c>
      <c r="F82" s="95">
        <v>60</v>
      </c>
      <c r="G82" s="95">
        <v>60</v>
      </c>
      <c r="H82" s="96" t="s">
        <v>707</v>
      </c>
      <c r="I82" s="96">
        <v>66</v>
      </c>
      <c r="J82" s="96" t="s">
        <v>708</v>
      </c>
      <c r="K82" s="96">
        <v>69</v>
      </c>
      <c r="L82" s="22" t="s">
        <v>271</v>
      </c>
      <c r="M82" s="38" t="s">
        <v>1430</v>
      </c>
      <c r="N82" s="38" t="s">
        <v>1430</v>
      </c>
      <c r="O82" s="38" t="s">
        <v>1430</v>
      </c>
      <c r="P82" s="38" t="s">
        <v>1430</v>
      </c>
      <c r="Q82" s="38" t="s">
        <v>1430</v>
      </c>
      <c r="R82" s="38" t="s">
        <v>1430</v>
      </c>
      <c r="S82" s="38" t="s">
        <v>1430</v>
      </c>
      <c r="T82" s="38" t="s">
        <v>1430</v>
      </c>
      <c r="U82" s="1" t="s">
        <v>1179</v>
      </c>
      <c r="V82" s="6" t="s">
        <v>1506</v>
      </c>
      <c r="W82" s="18" t="str">
        <f t="shared" si="3"/>
        <v xml:space="preserve">['V60', 'V60', 'HERRAJE ARANA', 'Pza.', 60, 60, 68.36, 66, 71.47, 69, 'ALVICRUZ - cbba -  -  - santa puej -  - ', 0.00, 0.00, 0.00, 0.00, 0.00, 0.00, 0.00, 0.00], </v>
      </c>
      <c r="X82" s="18"/>
      <c r="AB82" s="1" t="str">
        <f t="shared" si="2"/>
        <v>['V60', 'V60', 'HERRAJE ARANA', 0, 'Pza.'],</v>
      </c>
    </row>
    <row r="83" spans="1:28" s="1" customFormat="1" ht="28.8" x14ac:dyDescent="0.3">
      <c r="A83" s="73">
        <v>77</v>
      </c>
      <c r="B83" s="11" t="s">
        <v>92</v>
      </c>
      <c r="C83" s="11" t="s">
        <v>92</v>
      </c>
      <c r="D83" s="83" t="s">
        <v>398</v>
      </c>
      <c r="E83" s="37" t="s">
        <v>24</v>
      </c>
      <c r="F83" s="95">
        <v>20</v>
      </c>
      <c r="G83" s="95" t="s">
        <v>709</v>
      </c>
      <c r="H83" s="96" t="s">
        <v>710</v>
      </c>
      <c r="I83" s="96" t="s">
        <v>711</v>
      </c>
      <c r="J83" s="96" t="s">
        <v>712</v>
      </c>
      <c r="K83" s="96" t="s">
        <v>1036</v>
      </c>
      <c r="L83" s="22" t="s">
        <v>272</v>
      </c>
      <c r="M83" s="38" t="s">
        <v>1430</v>
      </c>
      <c r="N83" s="38" t="s">
        <v>1430</v>
      </c>
      <c r="O83" s="38" t="s">
        <v>1430</v>
      </c>
      <c r="P83" s="38" t="s">
        <v>1430</v>
      </c>
      <c r="Q83" s="38" t="s">
        <v>1430</v>
      </c>
      <c r="R83" s="38" t="s">
        <v>1430</v>
      </c>
      <c r="S83" s="38" t="s">
        <v>1430</v>
      </c>
      <c r="T83" s="38" t="s">
        <v>1430</v>
      </c>
      <c r="U83" s="1" t="s">
        <v>1180</v>
      </c>
      <c r="V83" s="6" t="s">
        <v>1507</v>
      </c>
      <c r="W83" s="18" t="str">
        <f t="shared" si="3"/>
        <v xml:space="preserve">['V61', 'V61', 'SOPORTE HERRAJE - TUBO', 'Pza.', 20, 19.2, 22.79, 21.12, 23.83, 22.08, '8D La Paz - cbba -  -  - santa puej -  - ', 0.00, 0.00, 0.00, 0.00, 0.00, 0.00, 0.00, 0.00], </v>
      </c>
      <c r="X83" s="18"/>
      <c r="AB83" s="1" t="str">
        <f t="shared" si="2"/>
        <v>['V61', 'V61', 'SOPORTE HERRAJE - TUBO', 0, 'Pza.'],</v>
      </c>
    </row>
    <row r="84" spans="1:28" s="1" customFormat="1" ht="28.8" x14ac:dyDescent="0.3">
      <c r="A84" s="73">
        <v>78</v>
      </c>
      <c r="B84" s="11" t="s">
        <v>93</v>
      </c>
      <c r="C84" s="11" t="s">
        <v>93</v>
      </c>
      <c r="D84" s="82" t="s">
        <v>1305</v>
      </c>
      <c r="E84" s="37" t="s">
        <v>24</v>
      </c>
      <c r="F84" s="95" t="s">
        <v>1411</v>
      </c>
      <c r="G84" s="95" t="s">
        <v>1411</v>
      </c>
      <c r="H84" s="96" t="s">
        <v>1412</v>
      </c>
      <c r="I84" s="96" t="s">
        <v>1413</v>
      </c>
      <c r="J84" s="96" t="s">
        <v>1414</v>
      </c>
      <c r="K84" s="96" t="s">
        <v>1415</v>
      </c>
      <c r="L84" s="14" t="s">
        <v>1416</v>
      </c>
      <c r="M84" s="38" t="s">
        <v>1430</v>
      </c>
      <c r="N84" s="38" t="s">
        <v>1430</v>
      </c>
      <c r="O84" s="38" t="s">
        <v>1430</v>
      </c>
      <c r="P84" s="38" t="s">
        <v>1430</v>
      </c>
      <c r="Q84" s="38" t="s">
        <v>1430</v>
      </c>
      <c r="R84" s="38" t="s">
        <v>1430</v>
      </c>
      <c r="S84" s="38" t="s">
        <v>1430</v>
      </c>
      <c r="T84" s="38" t="s">
        <v>1430</v>
      </c>
      <c r="U84" s="1" t="s">
        <v>1180</v>
      </c>
      <c r="V84" s="6" t="s">
        <v>1508</v>
      </c>
      <c r="W84" s="18" t="str">
        <f t="shared" si="3"/>
        <v xml:space="preserve">['V62', 'V62', '1318 ( CROMADO Ó BRONCE VIEJO )', 'Pza.', 14.6, 14.6, 16.64, 16.06, 17.39, 16.79, 'Alvicruz + 0.15 transp - cbba -  - 14.5 - santa puej - puestos S.C. - ', 0.00, 0.00, 0.00, 0.00, 0.00, 0.00, 0.00, 0.00], </v>
      </c>
      <c r="X84" s="18"/>
      <c r="AB84" s="1" t="str">
        <f t="shared" ref="AB84:AB93" si="4">CONCATENATE("['",B84,"', '",C84,"', '",D84,"', ",0,", '",E84,"'],")</f>
        <v>['V62', 'V62', '1318 ( CROMADO Ó BRONCE VIEJO )', 0, 'Pza.'],</v>
      </c>
    </row>
    <row r="85" spans="1:28" s="1" customFormat="1" ht="28.8" x14ac:dyDescent="0.3">
      <c r="A85" s="73">
        <v>79</v>
      </c>
      <c r="B85" s="11" t="s">
        <v>94</v>
      </c>
      <c r="C85" s="11" t="s">
        <v>94</v>
      </c>
      <c r="D85" s="83" t="s">
        <v>1304</v>
      </c>
      <c r="E85" s="37" t="s">
        <v>24</v>
      </c>
      <c r="F85" s="95">
        <v>0</v>
      </c>
      <c r="G85" s="95">
        <v>0</v>
      </c>
      <c r="H85" s="96">
        <v>0</v>
      </c>
      <c r="I85" s="96">
        <v>0</v>
      </c>
      <c r="J85" s="96">
        <v>0</v>
      </c>
      <c r="K85" s="96">
        <v>0</v>
      </c>
      <c r="L85" s="72" t="s">
        <v>272</v>
      </c>
      <c r="M85" s="38" t="s">
        <v>1430</v>
      </c>
      <c r="N85" s="38" t="s">
        <v>1430</v>
      </c>
      <c r="O85" s="38" t="s">
        <v>1430</v>
      </c>
      <c r="P85" s="38" t="s">
        <v>1430</v>
      </c>
      <c r="Q85" s="38" t="s">
        <v>1430</v>
      </c>
      <c r="R85" s="38" t="s">
        <v>1430</v>
      </c>
      <c r="S85" s="38" t="s">
        <v>1430</v>
      </c>
      <c r="T85" s="38" t="s">
        <v>1430</v>
      </c>
      <c r="U85" s="1" t="s">
        <v>1180</v>
      </c>
      <c r="V85" s="6" t="s">
        <v>1509</v>
      </c>
      <c r="W85" s="18" t="str">
        <f t="shared" si="3"/>
        <v xml:space="preserve">['V63', 'V63', 'OTRO', 'Pza.', 0, 0, 0, 0, 0, 0, '8D La Paz - cbba -  -  - santa puej -  - ', 0.00, 0.00, 0.00, 0.00, 0.00, 0.00, 0.00, 0.00], </v>
      </c>
      <c r="X85" s="18"/>
      <c r="AB85" s="1" t="str">
        <f t="shared" si="4"/>
        <v>['V63', 'V63', 'OTRO', 0, 'Pza.'],</v>
      </c>
    </row>
    <row r="86" spans="1:28" s="1" customFormat="1" ht="28.8" x14ac:dyDescent="0.3">
      <c r="A86" s="73">
        <v>80</v>
      </c>
      <c r="B86" s="11" t="s">
        <v>95</v>
      </c>
      <c r="C86" s="11" t="s">
        <v>95</v>
      </c>
      <c r="D86" s="83" t="s">
        <v>1304</v>
      </c>
      <c r="E86" s="37" t="s">
        <v>24</v>
      </c>
      <c r="F86" s="95">
        <v>0</v>
      </c>
      <c r="G86" s="95">
        <v>0</v>
      </c>
      <c r="H86" s="96">
        <v>0</v>
      </c>
      <c r="I86" s="96">
        <v>0</v>
      </c>
      <c r="J86" s="96">
        <v>0</v>
      </c>
      <c r="K86" s="96">
        <v>0</v>
      </c>
      <c r="L86" s="22" t="s">
        <v>272</v>
      </c>
      <c r="M86" s="38" t="s">
        <v>1430</v>
      </c>
      <c r="N86" s="38" t="s">
        <v>1430</v>
      </c>
      <c r="O86" s="38" t="s">
        <v>1430</v>
      </c>
      <c r="P86" s="38" t="s">
        <v>1430</v>
      </c>
      <c r="Q86" s="38" t="s">
        <v>1430</v>
      </c>
      <c r="R86" s="38" t="s">
        <v>1430</v>
      </c>
      <c r="S86" s="38" t="s">
        <v>1430</v>
      </c>
      <c r="T86" s="38" t="s">
        <v>1430</v>
      </c>
      <c r="U86" s="1" t="s">
        <v>1180</v>
      </c>
      <c r="V86" s="6" t="s">
        <v>1510</v>
      </c>
      <c r="W86" s="18" t="str">
        <f t="shared" si="3"/>
        <v xml:space="preserve">['V64', 'V64', 'OTRO', 'Pza.', 0, 0, 0, 0, 0, 0, '8D La Paz - cbba -  -  - santa puej -  - ', 0.00, 0.00, 0.00, 0.00, 0.00, 0.00, 0.00, 0.00], </v>
      </c>
      <c r="X86" s="18"/>
      <c r="AB86" s="1" t="str">
        <f t="shared" si="4"/>
        <v>['V64', 'V64', 'OTRO', 0, 'Pza.'],</v>
      </c>
    </row>
    <row r="87" spans="1:28" s="1" customFormat="1" ht="28.8" x14ac:dyDescent="0.3">
      <c r="A87" s="73">
        <v>81</v>
      </c>
      <c r="B87" s="11" t="s">
        <v>96</v>
      </c>
      <c r="C87" s="11" t="s">
        <v>96</v>
      </c>
      <c r="D87" s="83" t="s">
        <v>1304</v>
      </c>
      <c r="E87" s="37" t="s">
        <v>24</v>
      </c>
      <c r="F87" s="95">
        <v>0</v>
      </c>
      <c r="G87" s="95">
        <v>0</v>
      </c>
      <c r="H87" s="96">
        <v>0</v>
      </c>
      <c r="I87" s="96">
        <v>0</v>
      </c>
      <c r="J87" s="96">
        <v>0</v>
      </c>
      <c r="K87" s="96">
        <v>0</v>
      </c>
      <c r="L87" s="22" t="s">
        <v>272</v>
      </c>
      <c r="M87" s="38" t="s">
        <v>1430</v>
      </c>
      <c r="N87" s="38" t="s">
        <v>1430</v>
      </c>
      <c r="O87" s="38" t="s">
        <v>1430</v>
      </c>
      <c r="P87" s="38" t="s">
        <v>1430</v>
      </c>
      <c r="Q87" s="38" t="s">
        <v>1430</v>
      </c>
      <c r="R87" s="38" t="s">
        <v>1430</v>
      </c>
      <c r="S87" s="38" t="s">
        <v>1430</v>
      </c>
      <c r="T87" s="38" t="s">
        <v>1430</v>
      </c>
      <c r="U87" s="1" t="s">
        <v>1180</v>
      </c>
      <c r="V87" s="6" t="s">
        <v>1511</v>
      </c>
      <c r="W87" s="18" t="str">
        <f t="shared" si="3"/>
        <v xml:space="preserve">['V65', 'V65', 'OTRO', 'Pza.', 0, 0, 0, 0, 0, 0, '8D La Paz - cbba -  -  - santa puej -  - ', 0.00, 0.00, 0.00, 0.00, 0.00, 0.00, 0.00, 0.00], </v>
      </c>
      <c r="X87" s="18"/>
      <c r="AB87" s="1" t="str">
        <f t="shared" si="4"/>
        <v>['V65', 'V65', 'OTRO', 0, 'Pza.'],</v>
      </c>
    </row>
    <row r="88" spans="1:28" s="1" customFormat="1" ht="28.8" x14ac:dyDescent="0.3">
      <c r="A88" s="73">
        <v>82</v>
      </c>
      <c r="B88" s="11" t="s">
        <v>97</v>
      </c>
      <c r="C88" s="11" t="s">
        <v>97</v>
      </c>
      <c r="D88" s="83" t="s">
        <v>1304</v>
      </c>
      <c r="E88" s="37" t="s">
        <v>24</v>
      </c>
      <c r="F88" s="95">
        <v>0</v>
      </c>
      <c r="G88" s="95">
        <v>0</v>
      </c>
      <c r="H88" s="96">
        <v>0</v>
      </c>
      <c r="I88" s="96">
        <v>0</v>
      </c>
      <c r="J88" s="96">
        <v>0</v>
      </c>
      <c r="K88" s="96">
        <v>0</v>
      </c>
      <c r="L88" s="22" t="s">
        <v>272</v>
      </c>
      <c r="M88" s="38" t="s">
        <v>1430</v>
      </c>
      <c r="N88" s="38" t="s">
        <v>1430</v>
      </c>
      <c r="O88" s="38" t="s">
        <v>1430</v>
      </c>
      <c r="P88" s="38" t="s">
        <v>1430</v>
      </c>
      <c r="Q88" s="38" t="s">
        <v>1430</v>
      </c>
      <c r="R88" s="38" t="s">
        <v>1430</v>
      </c>
      <c r="S88" s="38" t="s">
        <v>1430</v>
      </c>
      <c r="T88" s="38" t="s">
        <v>1430</v>
      </c>
      <c r="U88" s="1" t="s">
        <v>1180</v>
      </c>
      <c r="V88" s="6" t="s">
        <v>1512</v>
      </c>
      <c r="W88" s="18" t="str">
        <f t="shared" si="3"/>
        <v xml:space="preserve">['V66', 'V66', 'OTRO', 'Pza.', 0, 0, 0, 0, 0, 0, '8D La Paz - cbba -  -  - santa puej -  - ', 0.00, 0.00, 0.00, 0.00, 0.00, 0.00, 0.00, 0.00], </v>
      </c>
      <c r="X88" s="18"/>
      <c r="AB88" s="1" t="str">
        <f t="shared" si="4"/>
        <v>['V66', 'V66', 'OTRO', 0, 'Pza.'],</v>
      </c>
    </row>
    <row r="89" spans="1:28" s="1" customFormat="1" ht="28.8" x14ac:dyDescent="0.3">
      <c r="A89" s="73">
        <v>83</v>
      </c>
      <c r="B89" s="11" t="s">
        <v>98</v>
      </c>
      <c r="C89" s="11" t="s">
        <v>98</v>
      </c>
      <c r="D89" s="83" t="s">
        <v>1304</v>
      </c>
      <c r="E89" s="37" t="s">
        <v>24</v>
      </c>
      <c r="F89" s="95">
        <v>0</v>
      </c>
      <c r="G89" s="95">
        <v>0</v>
      </c>
      <c r="H89" s="96">
        <v>0</v>
      </c>
      <c r="I89" s="96">
        <v>0</v>
      </c>
      <c r="J89" s="96">
        <v>0</v>
      </c>
      <c r="K89" s="96">
        <v>0</v>
      </c>
      <c r="L89" s="22" t="s">
        <v>272</v>
      </c>
      <c r="M89" s="38" t="s">
        <v>1430</v>
      </c>
      <c r="N89" s="38" t="s">
        <v>1430</v>
      </c>
      <c r="O89" s="38" t="s">
        <v>1430</v>
      </c>
      <c r="P89" s="38" t="s">
        <v>1430</v>
      </c>
      <c r="Q89" s="38" t="s">
        <v>1430</v>
      </c>
      <c r="R89" s="38" t="s">
        <v>1430</v>
      </c>
      <c r="S89" s="38" t="s">
        <v>1430</v>
      </c>
      <c r="T89" s="38" t="s">
        <v>1430</v>
      </c>
      <c r="U89" s="1" t="s">
        <v>1180</v>
      </c>
      <c r="V89" s="6" t="s">
        <v>1513</v>
      </c>
      <c r="W89" s="18" t="str">
        <f t="shared" si="3"/>
        <v xml:space="preserve">['V67', 'V67', 'OTRO', 'Pza.', 0, 0, 0, 0, 0, 0, '8D La Paz - cbba -  -  - santa puej -  - ', 0.00, 0.00, 0.00, 0.00, 0.00, 0.00, 0.00, 0.00], </v>
      </c>
      <c r="X89" s="18"/>
      <c r="AB89" s="1" t="str">
        <f t="shared" si="4"/>
        <v>['V67', 'V67', 'OTRO', 0, 'Pza.'],</v>
      </c>
    </row>
    <row r="90" spans="1:28" s="1" customFormat="1" ht="28.8" x14ac:dyDescent="0.3">
      <c r="A90" s="73">
        <v>84</v>
      </c>
      <c r="B90" s="11" t="s">
        <v>99</v>
      </c>
      <c r="C90" s="11" t="s">
        <v>99</v>
      </c>
      <c r="D90" s="83" t="s">
        <v>1304</v>
      </c>
      <c r="E90" s="37" t="s">
        <v>24</v>
      </c>
      <c r="F90" s="95">
        <v>0</v>
      </c>
      <c r="G90" s="95">
        <v>0</v>
      </c>
      <c r="H90" s="96">
        <v>0</v>
      </c>
      <c r="I90" s="96">
        <v>0</v>
      </c>
      <c r="J90" s="96">
        <v>0</v>
      </c>
      <c r="K90" s="96">
        <v>0</v>
      </c>
      <c r="L90" s="22" t="s">
        <v>272</v>
      </c>
      <c r="M90" s="38" t="s">
        <v>1430</v>
      </c>
      <c r="N90" s="38" t="s">
        <v>1430</v>
      </c>
      <c r="O90" s="38" t="s">
        <v>1430</v>
      </c>
      <c r="P90" s="38" t="s">
        <v>1430</v>
      </c>
      <c r="Q90" s="38" t="s">
        <v>1430</v>
      </c>
      <c r="R90" s="38" t="s">
        <v>1430</v>
      </c>
      <c r="S90" s="38" t="s">
        <v>1430</v>
      </c>
      <c r="T90" s="38" t="s">
        <v>1430</v>
      </c>
      <c r="U90" s="1" t="s">
        <v>1180</v>
      </c>
      <c r="V90" s="6" t="s">
        <v>1514</v>
      </c>
      <c r="W90" s="18" t="str">
        <f t="shared" si="3"/>
        <v xml:space="preserve">['V68', 'V68', 'OTRO', 'Pza.', 0, 0, 0, 0, 0, 0, '8D La Paz - cbba -  -  - santa puej -  - ', 0.00, 0.00, 0.00, 0.00, 0.00, 0.00, 0.00, 0.00], </v>
      </c>
      <c r="X90" s="18"/>
      <c r="AB90" s="1" t="str">
        <f t="shared" si="4"/>
        <v>['V68', 'V68', 'OTRO', 0, 'Pza.'],</v>
      </c>
    </row>
    <row r="91" spans="1:28" s="1" customFormat="1" ht="28.8" x14ac:dyDescent="0.3">
      <c r="A91" s="73">
        <v>85</v>
      </c>
      <c r="B91" s="11" t="s">
        <v>100</v>
      </c>
      <c r="C91" s="11" t="s">
        <v>100</v>
      </c>
      <c r="D91" s="83" t="s">
        <v>1304</v>
      </c>
      <c r="E91" s="37" t="s">
        <v>24</v>
      </c>
      <c r="F91" s="95">
        <v>0</v>
      </c>
      <c r="G91" s="95">
        <v>0</v>
      </c>
      <c r="H91" s="96">
        <v>0</v>
      </c>
      <c r="I91" s="96">
        <v>0</v>
      </c>
      <c r="J91" s="96">
        <v>0</v>
      </c>
      <c r="K91" s="96">
        <v>0</v>
      </c>
      <c r="L91" s="22" t="s">
        <v>272</v>
      </c>
      <c r="M91" s="38" t="s">
        <v>1430</v>
      </c>
      <c r="N91" s="38" t="s">
        <v>1430</v>
      </c>
      <c r="O91" s="38" t="s">
        <v>1430</v>
      </c>
      <c r="P91" s="38" t="s">
        <v>1430</v>
      </c>
      <c r="Q91" s="38" t="s">
        <v>1430</v>
      </c>
      <c r="R91" s="38" t="s">
        <v>1430</v>
      </c>
      <c r="S91" s="38" t="s">
        <v>1430</v>
      </c>
      <c r="T91" s="38" t="s">
        <v>1430</v>
      </c>
      <c r="U91" s="1" t="s">
        <v>1180</v>
      </c>
      <c r="V91" s="6" t="s">
        <v>1515</v>
      </c>
      <c r="W91" s="18" t="str">
        <f t="shared" si="3"/>
        <v xml:space="preserve">['V69', 'V69', 'OTRO', 'Pza.', 0, 0, 0, 0, 0, 0, '8D La Paz - cbba -  -  - santa puej -  - ', 0.00, 0.00, 0.00, 0.00, 0.00, 0.00, 0.00, 0.00], </v>
      </c>
      <c r="X91" s="18"/>
      <c r="AB91" s="1" t="str">
        <f t="shared" si="4"/>
        <v>['V69', 'V69', 'OTRO', 0, 'Pza.'],</v>
      </c>
    </row>
    <row r="92" spans="1:28" s="1" customFormat="1" ht="28.8" x14ac:dyDescent="0.3">
      <c r="A92" s="73">
        <v>86</v>
      </c>
      <c r="B92" s="11" t="s">
        <v>101</v>
      </c>
      <c r="C92" s="11" t="s">
        <v>101</v>
      </c>
      <c r="D92" s="83" t="s">
        <v>1304</v>
      </c>
      <c r="E92" s="37" t="s">
        <v>24</v>
      </c>
      <c r="F92" s="95">
        <v>0</v>
      </c>
      <c r="G92" s="95">
        <v>0</v>
      </c>
      <c r="H92" s="96">
        <v>0</v>
      </c>
      <c r="I92" s="96">
        <v>0</v>
      </c>
      <c r="J92" s="96">
        <v>0</v>
      </c>
      <c r="K92" s="96">
        <v>0</v>
      </c>
      <c r="L92" s="22" t="s">
        <v>272</v>
      </c>
      <c r="M92" s="38" t="s">
        <v>1430</v>
      </c>
      <c r="N92" s="38" t="s">
        <v>1430</v>
      </c>
      <c r="O92" s="38" t="s">
        <v>1430</v>
      </c>
      <c r="P92" s="38" t="s">
        <v>1430</v>
      </c>
      <c r="Q92" s="38" t="s">
        <v>1430</v>
      </c>
      <c r="R92" s="38" t="s">
        <v>1430</v>
      </c>
      <c r="S92" s="38" t="s">
        <v>1430</v>
      </c>
      <c r="T92" s="38" t="s">
        <v>1430</v>
      </c>
      <c r="U92" s="1" t="s">
        <v>1180</v>
      </c>
      <c r="V92" s="6" t="s">
        <v>1516</v>
      </c>
      <c r="W92" s="18" t="str">
        <f t="shared" si="3"/>
        <v xml:space="preserve">['V70', 'V70', 'OTRO', 'Pza.', 0, 0, 0, 0, 0, 0, '8D La Paz - cbba -  -  - santa puej -  - ', 0.00, 0.00, 0.00, 0.00, 0.00, 0.00, 0.00, 0.00], </v>
      </c>
      <c r="X92" s="18"/>
      <c r="AB92" s="1" t="str">
        <f t="shared" si="4"/>
        <v>['V70', 'V70', 'OTRO', 0, 'Pza.'],</v>
      </c>
    </row>
    <row r="93" spans="1:28" s="1" customFormat="1" ht="28.8" x14ac:dyDescent="0.3">
      <c r="A93" s="73">
        <v>87</v>
      </c>
      <c r="B93" s="11" t="s">
        <v>209</v>
      </c>
      <c r="C93" s="11" t="s">
        <v>209</v>
      </c>
      <c r="D93" s="83" t="s">
        <v>1304</v>
      </c>
      <c r="E93" s="37" t="s">
        <v>24</v>
      </c>
      <c r="F93" s="95">
        <v>0</v>
      </c>
      <c r="G93" s="95">
        <v>0</v>
      </c>
      <c r="H93" s="96">
        <v>0</v>
      </c>
      <c r="I93" s="96">
        <v>0</v>
      </c>
      <c r="J93" s="96">
        <v>0</v>
      </c>
      <c r="K93" s="96">
        <v>0</v>
      </c>
      <c r="L93" s="22" t="s">
        <v>272</v>
      </c>
      <c r="M93" s="38" t="s">
        <v>1430</v>
      </c>
      <c r="N93" s="38" t="s">
        <v>1430</v>
      </c>
      <c r="O93" s="38" t="s">
        <v>1430</v>
      </c>
      <c r="P93" s="38" t="s">
        <v>1430</v>
      </c>
      <c r="Q93" s="38" t="s">
        <v>1430</v>
      </c>
      <c r="R93" s="38" t="s">
        <v>1430</v>
      </c>
      <c r="S93" s="38" t="s">
        <v>1430</v>
      </c>
      <c r="T93" s="38" t="s">
        <v>1430</v>
      </c>
      <c r="U93" s="1" t="s">
        <v>1180</v>
      </c>
      <c r="V93" s="6" t="s">
        <v>1517</v>
      </c>
      <c r="W93" s="18" t="str">
        <f t="shared" si="3"/>
        <v xml:space="preserve">['V71', 'V71', 'OTRO', 'Pza.', 0, 0, 0, 0, 0, 0, '8D La Paz - cbba -  -  - santa puej -  - ', 0.00, 0.00, 0.00, 0.00, 0.00, 0.00, 0.00, 0.00], </v>
      </c>
      <c r="X93" s="18"/>
      <c r="AB93" s="1" t="str">
        <f t="shared" si="4"/>
        <v>['V71', 'V71', 'OTRO', 0, 'Pza.'],</v>
      </c>
    </row>
    <row r="94" spans="1:28" s="1" customFormat="1" ht="28.8" x14ac:dyDescent="0.3">
      <c r="A94" s="73">
        <v>88</v>
      </c>
      <c r="B94" s="11" t="s">
        <v>103</v>
      </c>
      <c r="C94" s="11" t="s">
        <v>103</v>
      </c>
      <c r="D94" s="83" t="s">
        <v>399</v>
      </c>
      <c r="E94" s="37" t="s">
        <v>104</v>
      </c>
      <c r="F94" s="95" t="s">
        <v>961</v>
      </c>
      <c r="G94" s="95" t="s">
        <v>962</v>
      </c>
      <c r="H94" s="96" t="s">
        <v>713</v>
      </c>
      <c r="I94" s="96" t="s">
        <v>714</v>
      </c>
      <c r="J94" s="96" t="s">
        <v>715</v>
      </c>
      <c r="K94" s="96" t="s">
        <v>1037</v>
      </c>
      <c r="L94" s="14" t="s">
        <v>1417</v>
      </c>
      <c r="M94" s="38" t="s">
        <v>1430</v>
      </c>
      <c r="N94" s="38" t="s">
        <v>1430</v>
      </c>
      <c r="O94" s="38" t="s">
        <v>1430</v>
      </c>
      <c r="P94" s="38" t="s">
        <v>1430</v>
      </c>
      <c r="Q94" s="38" t="s">
        <v>1430</v>
      </c>
      <c r="R94" s="38" t="s">
        <v>1430</v>
      </c>
      <c r="S94" s="38" t="s">
        <v>1430</v>
      </c>
      <c r="T94" s="38" t="s">
        <v>1430</v>
      </c>
      <c r="U94" s="1" t="s">
        <v>1181</v>
      </c>
      <c r="V94" s="6" t="s">
        <v>1518</v>
      </c>
      <c r="W94" s="18" t="str">
        <f t="shared" si="3"/>
        <v xml:space="preserve">['A1', 'A1', 'ALUMINIO ANODIZADO BRONCE O CHAMPAGNE', 'Kgr.', 7.74, 7.43, 8.82, 8.18, 9.22, 8.55, 'Alcoa 6.73 + 15% - cbba -  -  - santa puej -  - ', 0.00, 0.00, 0.00, 0.00, 0.00, 0.00, 0.00, 0.00], </v>
      </c>
      <c r="X94" s="18"/>
      <c r="AB94" s="1" t="str">
        <f t="shared" si="2"/>
        <v>['A1', 'A1', 'ALUMINIO ANODIZADO BRONCE O CHAMPAGNE', 0, 'Kgr.'],</v>
      </c>
    </row>
    <row r="95" spans="1:28" s="1" customFormat="1" ht="28.8" x14ac:dyDescent="0.3">
      <c r="A95" s="73">
        <v>89</v>
      </c>
      <c r="B95" s="11" t="s">
        <v>105</v>
      </c>
      <c r="C95" s="11" t="s">
        <v>105</v>
      </c>
      <c r="D95" s="83" t="s">
        <v>400</v>
      </c>
      <c r="E95" s="37" t="s">
        <v>104</v>
      </c>
      <c r="F95" s="95" t="s">
        <v>961</v>
      </c>
      <c r="G95" s="95" t="s">
        <v>962</v>
      </c>
      <c r="H95" s="96" t="s">
        <v>713</v>
      </c>
      <c r="I95" s="96" t="s">
        <v>714</v>
      </c>
      <c r="J95" s="96" t="s">
        <v>715</v>
      </c>
      <c r="K95" s="96" t="s">
        <v>1037</v>
      </c>
      <c r="L95" s="14" t="s">
        <v>1417</v>
      </c>
      <c r="M95" s="38" t="s">
        <v>1430</v>
      </c>
      <c r="N95" s="38" t="s">
        <v>1430</v>
      </c>
      <c r="O95" s="38" t="s">
        <v>1430</v>
      </c>
      <c r="P95" s="38" t="s">
        <v>1430</v>
      </c>
      <c r="Q95" s="38" t="s">
        <v>1430</v>
      </c>
      <c r="R95" s="38" t="s">
        <v>1430</v>
      </c>
      <c r="S95" s="38" t="s">
        <v>1430</v>
      </c>
      <c r="T95" s="38" t="s">
        <v>1430</v>
      </c>
      <c r="U95" s="1" t="s">
        <v>1182</v>
      </c>
      <c r="V95" s="6" t="s">
        <v>1519</v>
      </c>
      <c r="W95" s="18" t="str">
        <f t="shared" si="3"/>
        <v xml:space="preserve">['A2', 'A2', 'ALUMINIO ANODIZADO NATURAL', 'Kgr.', 7.74, 7.43, 8.82, 8.18, 9.22, 8.55, 'Alcoa 6.73 + 15% - cbba -  -  - santa puej -  - ', 0.00, 0.00, 0.00, 0.00, 0.00, 0.00, 0.00, 0.00], </v>
      </c>
      <c r="X95" s="18"/>
      <c r="AB95" s="1" t="str">
        <f t="shared" si="2"/>
        <v>['A2', 'A2', 'ALUMINIO ANODIZADO NATURAL', 0, 'Kgr.'],</v>
      </c>
    </row>
    <row r="96" spans="1:28" s="1" customFormat="1" ht="28.8" x14ac:dyDescent="0.3">
      <c r="A96" s="73">
        <v>90</v>
      </c>
      <c r="B96" s="11" t="s">
        <v>106</v>
      </c>
      <c r="C96" s="11" t="s">
        <v>106</v>
      </c>
      <c r="D96" s="83" t="s">
        <v>401</v>
      </c>
      <c r="E96" s="37" t="s">
        <v>31</v>
      </c>
      <c r="F96" s="95" t="s">
        <v>902</v>
      </c>
      <c r="G96" s="95" t="s">
        <v>902</v>
      </c>
      <c r="H96" s="96" t="s">
        <v>641</v>
      </c>
      <c r="I96" s="96" t="s">
        <v>716</v>
      </c>
      <c r="J96" s="96" t="s">
        <v>1023</v>
      </c>
      <c r="K96" s="96" t="s">
        <v>1038</v>
      </c>
      <c r="L96" s="23" t="s">
        <v>275</v>
      </c>
      <c r="M96" s="38" t="s">
        <v>1430</v>
      </c>
      <c r="N96" s="38" t="s">
        <v>1430</v>
      </c>
      <c r="O96" s="38" t="s">
        <v>1430</v>
      </c>
      <c r="P96" s="38" t="s">
        <v>1430</v>
      </c>
      <c r="Q96" s="38" t="s">
        <v>1430</v>
      </c>
      <c r="R96" s="38" t="s">
        <v>1430</v>
      </c>
      <c r="S96" s="38" t="s">
        <v>1430</v>
      </c>
      <c r="T96" s="38" t="s">
        <v>1430</v>
      </c>
      <c r="U96" s="1" t="s">
        <v>1183</v>
      </c>
      <c r="V96" s="6" t="s">
        <v>1520</v>
      </c>
      <c r="W96" s="18" t="str">
        <f t="shared" si="3"/>
        <v xml:space="preserve">['A3', 'A3', 'VIDRIO INCOLORORO 3MM', 'Mt²', 8.84, 8.84, 10.07, 9.72, 10.53, 10.17, 'Oriental 7.68 + 15% - cbba -  -  - santa puej -  - ', 0.00, 0.00, 0.00, 0.00, 0.00, 0.00, 0.00, 0.00], </v>
      </c>
      <c r="X96" s="18"/>
      <c r="AB96" s="1" t="str">
        <f t="shared" si="2"/>
        <v>['A3', 'A3', 'VIDRIO INCOLORORO 3MM', 0, 'Mt²'],</v>
      </c>
    </row>
    <row r="97" spans="1:28" s="1" customFormat="1" ht="28.8" x14ac:dyDescent="0.3">
      <c r="A97" s="73">
        <v>91</v>
      </c>
      <c r="B97" s="11" t="s">
        <v>107</v>
      </c>
      <c r="C97" s="11" t="s">
        <v>107</v>
      </c>
      <c r="D97" s="83" t="s">
        <v>402</v>
      </c>
      <c r="E97" s="37" t="s">
        <v>31</v>
      </c>
      <c r="F97" s="95" t="s">
        <v>963</v>
      </c>
      <c r="G97" s="95" t="s">
        <v>963</v>
      </c>
      <c r="H97" s="96" t="s">
        <v>717</v>
      </c>
      <c r="I97" s="96">
        <v>12</v>
      </c>
      <c r="J97" s="96">
        <v>13</v>
      </c>
      <c r="K97" s="96" t="s">
        <v>1039</v>
      </c>
      <c r="L97" s="23" t="s">
        <v>1418</v>
      </c>
      <c r="M97" s="38" t="s">
        <v>1430</v>
      </c>
      <c r="N97" s="38" t="s">
        <v>1430</v>
      </c>
      <c r="O97" s="38" t="s">
        <v>1430</v>
      </c>
      <c r="P97" s="38" t="s">
        <v>1430</v>
      </c>
      <c r="Q97" s="38" t="s">
        <v>1430</v>
      </c>
      <c r="R97" s="38" t="s">
        <v>1430</v>
      </c>
      <c r="S97" s="38" t="s">
        <v>1430</v>
      </c>
      <c r="T97" s="38" t="s">
        <v>1430</v>
      </c>
      <c r="U97" s="1" t="s">
        <v>1184</v>
      </c>
      <c r="V97" s="6" t="s">
        <v>1521</v>
      </c>
      <c r="W97" s="18" t="str">
        <f t="shared" si="3"/>
        <v xml:space="preserve">['A4', 'A4', 'VIDRIO INCOLORORO 4MM', 'Mt²', 10.91, 10.91, 12.43, 12, 13, 12.55, 'Oriental 9.48 + 15% - cbba -  -  - santa puej - 9.47449823569479 - ', 0.00, 0.00, 0.00, 0.00, 0.00, 0.00, 0.00, 0.00], </v>
      </c>
      <c r="X97" s="18"/>
      <c r="AB97" s="1" t="str">
        <f t="shared" si="2"/>
        <v>['A4', 'A4', 'VIDRIO INCOLORORO 4MM', 0, 'Mt²'],</v>
      </c>
    </row>
    <row r="98" spans="1:28" s="1" customFormat="1" ht="28.8" x14ac:dyDescent="0.3">
      <c r="A98" s="73">
        <v>92</v>
      </c>
      <c r="B98" s="11" t="s">
        <v>108</v>
      </c>
      <c r="C98" s="11" t="s">
        <v>108</v>
      </c>
      <c r="D98" s="83" t="s">
        <v>403</v>
      </c>
      <c r="E98" s="37" t="s">
        <v>31</v>
      </c>
      <c r="F98" s="95" t="s">
        <v>964</v>
      </c>
      <c r="G98" s="95" t="s">
        <v>964</v>
      </c>
      <c r="H98" s="96" t="s">
        <v>718</v>
      </c>
      <c r="I98" s="96" t="s">
        <v>719</v>
      </c>
      <c r="J98" s="96" t="s">
        <v>1040</v>
      </c>
      <c r="K98" s="96" t="s">
        <v>1041</v>
      </c>
      <c r="L98" s="23" t="s">
        <v>1419</v>
      </c>
      <c r="M98" s="38" t="s">
        <v>1430</v>
      </c>
      <c r="N98" s="38" t="s">
        <v>1430</v>
      </c>
      <c r="O98" s="38" t="s">
        <v>1430</v>
      </c>
      <c r="P98" s="38" t="s">
        <v>1430</v>
      </c>
      <c r="Q98" s="38" t="s">
        <v>1430</v>
      </c>
      <c r="R98" s="38" t="s">
        <v>1430</v>
      </c>
      <c r="S98" s="38" t="s">
        <v>1430</v>
      </c>
      <c r="T98" s="38" t="s">
        <v>1430</v>
      </c>
      <c r="U98" s="1" t="s">
        <v>1185</v>
      </c>
      <c r="V98" s="6" t="s">
        <v>1522</v>
      </c>
      <c r="W98" s="18" t="str">
        <f t="shared" si="3"/>
        <v xml:space="preserve">['A5', 'A5', 'VIDRIO INCOLORORO 5MM', 'Mt²', 12.38, 12.38, 14.1, 13.62, 14.75, 14.24, 'Oriental 10.76 + 15% - cbba -  -  - santa puej - 10.754835835113 - ', 0.00, 0.00, 0.00, 0.00, 0.00, 0.00, 0.00, 0.00], </v>
      </c>
      <c r="X98" s="18"/>
      <c r="AB98" s="1" t="str">
        <f t="shared" si="2"/>
        <v>['A5', 'A5', 'VIDRIO INCOLORORO 5MM', 0, 'Mt²'],</v>
      </c>
    </row>
    <row r="99" spans="1:28" s="1" customFormat="1" ht="28.8" x14ac:dyDescent="0.3">
      <c r="A99" s="73">
        <v>93</v>
      </c>
      <c r="B99" s="11" t="s">
        <v>109</v>
      </c>
      <c r="C99" s="11" t="s">
        <v>109</v>
      </c>
      <c r="D99" s="83" t="s">
        <v>404</v>
      </c>
      <c r="E99" s="37" t="s">
        <v>31</v>
      </c>
      <c r="F99" s="95" t="s">
        <v>965</v>
      </c>
      <c r="G99" s="95" t="s">
        <v>965</v>
      </c>
      <c r="H99" s="96" t="s">
        <v>720</v>
      </c>
      <c r="I99" s="96" t="s">
        <v>721</v>
      </c>
      <c r="J99" s="96" t="s">
        <v>1042</v>
      </c>
      <c r="K99" s="96" t="s">
        <v>1043</v>
      </c>
      <c r="L99" s="23" t="s">
        <v>1420</v>
      </c>
      <c r="M99" s="38" t="s">
        <v>1430</v>
      </c>
      <c r="N99" s="38" t="s">
        <v>1430</v>
      </c>
      <c r="O99" s="38" t="s">
        <v>1430</v>
      </c>
      <c r="P99" s="38" t="s">
        <v>1430</v>
      </c>
      <c r="Q99" s="38" t="s">
        <v>1430</v>
      </c>
      <c r="R99" s="38" t="s">
        <v>1430</v>
      </c>
      <c r="S99" s="38" t="s">
        <v>1430</v>
      </c>
      <c r="T99" s="38" t="s">
        <v>1430</v>
      </c>
      <c r="U99" s="1" t="s">
        <v>1186</v>
      </c>
      <c r="V99" s="6" t="s">
        <v>1523</v>
      </c>
      <c r="W99" s="18" t="str">
        <f t="shared" si="3"/>
        <v xml:space="preserve">['A6', 'A6', 'VIDRIO INCOLORORO 6MM', 'Mt²', 16.45, 16.45, 18.74, 18.09, 19.6, 18.92, 'Oriental 14.30 + 15% - cbba -  -  - santa puej - 14.0837135936004 - ', 0.00, 0.00, 0.00, 0.00, 0.00, 0.00, 0.00, 0.00], </v>
      </c>
      <c r="X99" s="18"/>
      <c r="AB99" s="1" t="str">
        <f t="shared" si="2"/>
        <v>['A6', 'A6', 'VIDRIO INCOLORORO 6MM', 0, 'Mt²'],</v>
      </c>
    </row>
    <row r="100" spans="1:28" s="1" customFormat="1" ht="28.8" x14ac:dyDescent="0.3">
      <c r="A100" s="73">
        <v>94</v>
      </c>
      <c r="B100" s="11" t="s">
        <v>110</v>
      </c>
      <c r="C100" s="11" t="s">
        <v>110</v>
      </c>
      <c r="D100" s="83" t="s">
        <v>405</v>
      </c>
      <c r="E100" s="37" t="s">
        <v>31</v>
      </c>
      <c r="F100" s="95" t="s">
        <v>966</v>
      </c>
      <c r="G100" s="95" t="s">
        <v>966</v>
      </c>
      <c r="H100" s="96" t="s">
        <v>722</v>
      </c>
      <c r="I100" s="96" t="s">
        <v>723</v>
      </c>
      <c r="J100" s="96" t="s">
        <v>724</v>
      </c>
      <c r="K100" s="96" t="s">
        <v>1044</v>
      </c>
      <c r="L100" s="24" t="s">
        <v>279</v>
      </c>
      <c r="M100" s="38" t="s">
        <v>1430</v>
      </c>
      <c r="N100" s="38" t="s">
        <v>1430</v>
      </c>
      <c r="O100" s="38" t="s">
        <v>1430</v>
      </c>
      <c r="P100" s="38" t="s">
        <v>1430</v>
      </c>
      <c r="Q100" s="38" t="s">
        <v>1430</v>
      </c>
      <c r="R100" s="38" t="s">
        <v>1430</v>
      </c>
      <c r="S100" s="38" t="s">
        <v>1430</v>
      </c>
      <c r="T100" s="38" t="s">
        <v>1430</v>
      </c>
      <c r="U100" s="1" t="s">
        <v>1187</v>
      </c>
      <c r="V100" s="6" t="s">
        <v>1524</v>
      </c>
      <c r="W100" s="18" t="str">
        <f t="shared" si="3"/>
        <v xml:space="preserve">['A7', 'A7', 'VIDRIO COLOR 3MM', 'Mt²', 11.61, 11.61, 13.22, 12.77, 13.83, 13.36, 'Garcia 10.09 + 15% - cbba -  -  - santa puej -  - ', 0.00, 0.00, 0.00, 0.00, 0.00, 0.00, 0.00, 0.00], </v>
      </c>
      <c r="X100" s="18"/>
      <c r="AB100" s="1" t="str">
        <f t="shared" si="2"/>
        <v>['A7', 'A7', 'VIDRIO COLOR 3MM', 0, 'Mt²'],</v>
      </c>
    </row>
    <row r="101" spans="1:28" s="1" customFormat="1" ht="28.8" x14ac:dyDescent="0.3">
      <c r="A101" s="73">
        <v>95</v>
      </c>
      <c r="B101" s="11" t="s">
        <v>111</v>
      </c>
      <c r="C101" s="11" t="s">
        <v>111</v>
      </c>
      <c r="D101" s="83" t="s">
        <v>406</v>
      </c>
      <c r="E101" s="37" t="s">
        <v>31</v>
      </c>
      <c r="F101" s="95" t="s">
        <v>967</v>
      </c>
      <c r="G101" s="95" t="s">
        <v>967</v>
      </c>
      <c r="H101" s="96" t="s">
        <v>725</v>
      </c>
      <c r="I101" s="96" t="s">
        <v>726</v>
      </c>
      <c r="J101" s="96" t="s">
        <v>1045</v>
      </c>
      <c r="K101" s="96" t="s">
        <v>1046</v>
      </c>
      <c r="L101" s="23" t="s">
        <v>280</v>
      </c>
      <c r="M101" s="38" t="s">
        <v>1430</v>
      </c>
      <c r="N101" s="38" t="s">
        <v>1430</v>
      </c>
      <c r="O101" s="38" t="s">
        <v>1430</v>
      </c>
      <c r="P101" s="38" t="s">
        <v>1430</v>
      </c>
      <c r="Q101" s="38" t="s">
        <v>1430</v>
      </c>
      <c r="R101" s="38" t="s">
        <v>1430</v>
      </c>
      <c r="S101" s="38" t="s">
        <v>1430</v>
      </c>
      <c r="T101" s="38" t="s">
        <v>1430</v>
      </c>
      <c r="U101" s="1" t="s">
        <v>1188</v>
      </c>
      <c r="V101" s="6" t="s">
        <v>1525</v>
      </c>
      <c r="W101" s="18" t="str">
        <f t="shared" si="3"/>
        <v xml:space="preserve">['A8', 'A8', 'VIDRIO COLOR 4MM', 'Mt²', 12.75, 12.75, 14.52, 14.02, 15.19, 14.67, 'Oriental 11.08 + 15% - cbba -  -  - santa puej -  - ', 0.00, 0.00, 0.00, 0.00, 0.00, 0.00, 0.00, 0.00], </v>
      </c>
      <c r="X101" s="18"/>
      <c r="AB101" s="1" t="str">
        <f t="shared" si="2"/>
        <v>['A8', 'A8', 'VIDRIO COLOR 4MM', 0, 'Mt²'],</v>
      </c>
    </row>
    <row r="102" spans="1:28" s="1" customFormat="1" ht="28.8" x14ac:dyDescent="0.3">
      <c r="A102" s="73">
        <v>96</v>
      </c>
      <c r="B102" s="11" t="s">
        <v>112</v>
      </c>
      <c r="C102" s="11" t="s">
        <v>112</v>
      </c>
      <c r="D102" s="83" t="s">
        <v>407</v>
      </c>
      <c r="E102" s="37" t="s">
        <v>31</v>
      </c>
      <c r="F102" s="95" t="s">
        <v>968</v>
      </c>
      <c r="G102" s="95" t="s">
        <v>968</v>
      </c>
      <c r="H102" s="96" t="s">
        <v>727</v>
      </c>
      <c r="I102" s="96" t="s">
        <v>728</v>
      </c>
      <c r="J102" s="96" t="s">
        <v>729</v>
      </c>
      <c r="K102" s="96" t="s">
        <v>1047</v>
      </c>
      <c r="L102" s="24" t="s">
        <v>281</v>
      </c>
      <c r="M102" s="38" t="s">
        <v>1430</v>
      </c>
      <c r="N102" s="38" t="s">
        <v>1430</v>
      </c>
      <c r="O102" s="38" t="s">
        <v>1430</v>
      </c>
      <c r="P102" s="38" t="s">
        <v>1430</v>
      </c>
      <c r="Q102" s="38" t="s">
        <v>1430</v>
      </c>
      <c r="R102" s="38" t="s">
        <v>1430</v>
      </c>
      <c r="S102" s="38" t="s">
        <v>1430</v>
      </c>
      <c r="T102" s="38" t="s">
        <v>1430</v>
      </c>
      <c r="U102" s="1" t="s">
        <v>1189</v>
      </c>
      <c r="V102" s="6" t="s">
        <v>1526</v>
      </c>
      <c r="W102" s="18" t="str">
        <f t="shared" si="3"/>
        <v xml:space="preserve">['A9', 'A9', 'VIDRIO COLOR 5MM', 'Mt²', 16.48, 16.48, 18.78, 18.13, 19.63, 18.96, 'Garcia 14.33 + 15% - cbba -  -  - santa puej -  - ', 0.00, 0.00, 0.00, 0.00, 0.00, 0.00, 0.00, 0.00], </v>
      </c>
      <c r="X102" s="18"/>
      <c r="AB102" s="1" t="str">
        <f t="shared" si="2"/>
        <v>['A9', 'A9', 'VIDRIO COLOR 5MM', 0, 'Mt²'],</v>
      </c>
    </row>
    <row r="103" spans="1:28" s="1" customFormat="1" ht="28.8" x14ac:dyDescent="0.3">
      <c r="A103" s="73">
        <v>97</v>
      </c>
      <c r="B103" s="11" t="s">
        <v>113</v>
      </c>
      <c r="C103" s="11" t="s">
        <v>113</v>
      </c>
      <c r="D103" s="83" t="s">
        <v>408</v>
      </c>
      <c r="E103" s="37" t="s">
        <v>31</v>
      </c>
      <c r="F103" s="95" t="s">
        <v>969</v>
      </c>
      <c r="G103" s="95" t="s">
        <v>969</v>
      </c>
      <c r="H103" s="96" t="s">
        <v>731</v>
      </c>
      <c r="I103" s="96" t="s">
        <v>732</v>
      </c>
      <c r="J103" s="96" t="s">
        <v>733</v>
      </c>
      <c r="K103" s="96" t="s">
        <v>1048</v>
      </c>
      <c r="L103" s="23" t="s">
        <v>282</v>
      </c>
      <c r="M103" s="38" t="s">
        <v>1430</v>
      </c>
      <c r="N103" s="38" t="s">
        <v>1430</v>
      </c>
      <c r="O103" s="38" t="s">
        <v>1430</v>
      </c>
      <c r="P103" s="38" t="s">
        <v>1430</v>
      </c>
      <c r="Q103" s="38" t="s">
        <v>1430</v>
      </c>
      <c r="R103" s="38" t="s">
        <v>1430</v>
      </c>
      <c r="S103" s="38" t="s">
        <v>1430</v>
      </c>
      <c r="T103" s="38" t="s">
        <v>1430</v>
      </c>
      <c r="U103" s="1" t="s">
        <v>1190</v>
      </c>
      <c r="V103" s="6" t="s">
        <v>1527</v>
      </c>
      <c r="W103" s="18" t="str">
        <f t="shared" si="3"/>
        <v xml:space="preserve">['A10', 'A10', 'VIDRIO COLOR 6MM', 'Mt²', 19.15, 19.15, 21.82, 21.07, 22.81, 22.03, 'Oriental 16.65 + 15% - cbba -  -  - santa puej -  - ', 0.00, 0.00, 0.00, 0.00, 0.00, 0.00, 0.00, 0.00], </v>
      </c>
      <c r="X103" s="18"/>
      <c r="AB103" s="1" t="str">
        <f t="shared" si="2"/>
        <v>['A10', 'A10', 'VIDRIO COLOR 6MM', 0, 'Mt²'],</v>
      </c>
    </row>
    <row r="104" spans="1:28" s="1" customFormat="1" ht="28.8" x14ac:dyDescent="0.3">
      <c r="A104" s="73">
        <v>98</v>
      </c>
      <c r="B104" s="11" t="s">
        <v>114</v>
      </c>
      <c r="C104" s="11" t="s">
        <v>114</v>
      </c>
      <c r="D104" s="83" t="s">
        <v>409</v>
      </c>
      <c r="E104" s="37" t="s">
        <v>31</v>
      </c>
      <c r="F104" s="95" t="s">
        <v>970</v>
      </c>
      <c r="G104" s="95" t="s">
        <v>971</v>
      </c>
      <c r="H104" s="96" t="s">
        <v>734</v>
      </c>
      <c r="I104" s="96" t="s">
        <v>735</v>
      </c>
      <c r="J104" s="96" t="s">
        <v>736</v>
      </c>
      <c r="K104" s="96">
        <v>7</v>
      </c>
      <c r="L104" s="17" t="s">
        <v>1421</v>
      </c>
      <c r="M104" s="38" t="s">
        <v>1430</v>
      </c>
      <c r="N104" s="38" t="s">
        <v>1430</v>
      </c>
      <c r="O104" s="38" t="s">
        <v>1430</v>
      </c>
      <c r="P104" s="38" t="s">
        <v>1430</v>
      </c>
      <c r="Q104" s="38" t="s">
        <v>1430</v>
      </c>
      <c r="R104" s="38" t="s">
        <v>1430</v>
      </c>
      <c r="S104" s="38" t="s">
        <v>1430</v>
      </c>
      <c r="T104" s="38" t="s">
        <v>1430</v>
      </c>
      <c r="U104" s="1" t="s">
        <v>1191</v>
      </c>
      <c r="V104" s="6" t="s">
        <v>1528</v>
      </c>
      <c r="W104" s="18" t="str">
        <f t="shared" si="3"/>
        <v xml:space="preserve">['A11', 'A11', 'VIDRIO CATEDRAL CLARO', 'Mt²', 6.33, 6.08, 7.21, 6.68, 7.54, 7, 'Revibol - 5.55  + 15% - cbba -  -  - santa puej -  - ', 0.00, 0.00, 0.00, 0.00, 0.00, 0.00, 0.00, 0.00], </v>
      </c>
      <c r="X104" s="18"/>
      <c r="AB104" s="1" t="str">
        <f t="shared" si="2"/>
        <v>['A11', 'A11', 'VIDRIO CATEDRAL CLARO', 0, 'Mt²'],</v>
      </c>
    </row>
    <row r="105" spans="1:28" s="1" customFormat="1" ht="28.8" x14ac:dyDescent="0.3">
      <c r="A105" s="73">
        <v>99</v>
      </c>
      <c r="B105" s="11" t="s">
        <v>115</v>
      </c>
      <c r="C105" s="11" t="s">
        <v>115</v>
      </c>
      <c r="D105" s="83" t="s">
        <v>410</v>
      </c>
      <c r="E105" s="37" t="s">
        <v>31</v>
      </c>
      <c r="F105" s="95" t="s">
        <v>972</v>
      </c>
      <c r="G105" s="95" t="s">
        <v>973</v>
      </c>
      <c r="H105" s="96" t="s">
        <v>737</v>
      </c>
      <c r="I105" s="96" t="s">
        <v>738</v>
      </c>
      <c r="J105" s="96" t="s">
        <v>1049</v>
      </c>
      <c r="K105" s="96" t="s">
        <v>1050</v>
      </c>
      <c r="L105" s="17" t="s">
        <v>1422</v>
      </c>
      <c r="M105" s="38" t="s">
        <v>1430</v>
      </c>
      <c r="N105" s="38" t="s">
        <v>1430</v>
      </c>
      <c r="O105" s="38" t="s">
        <v>1430</v>
      </c>
      <c r="P105" s="38" t="s">
        <v>1430</v>
      </c>
      <c r="Q105" s="38" t="s">
        <v>1430</v>
      </c>
      <c r="R105" s="38" t="s">
        <v>1430</v>
      </c>
      <c r="S105" s="38" t="s">
        <v>1430</v>
      </c>
      <c r="T105" s="38" t="s">
        <v>1430</v>
      </c>
      <c r="U105" s="1" t="s">
        <v>1192</v>
      </c>
      <c r="V105" s="6" t="s">
        <v>1529</v>
      </c>
      <c r="W105" s="18" t="str">
        <f t="shared" si="3"/>
        <v xml:space="preserve">['A12', 'A12', 'VIDRIO CATEDRAL COLOR', 'Mt²', 8.24, 7.91, 9.39, 8.7, 9.82, 9.1, 'Revibol - 7.16 + 15% - cbba -  -  - santa puej -  - ', 0.00, 0.00, 0.00, 0.00, 0.00, 0.00, 0.00, 0.00], </v>
      </c>
      <c r="X105" s="18"/>
      <c r="AB105" s="1" t="str">
        <f t="shared" si="2"/>
        <v>['A12', 'A12', 'VIDRIO CATEDRAL COLOR', 0, 'Mt²'],</v>
      </c>
    </row>
    <row r="106" spans="1:28" s="1" customFormat="1" ht="28.8" x14ac:dyDescent="0.3">
      <c r="A106" s="73">
        <v>100</v>
      </c>
      <c r="B106" s="11" t="s">
        <v>116</v>
      </c>
      <c r="C106" s="11" t="s">
        <v>116</v>
      </c>
      <c r="D106" s="83" t="s">
        <v>411</v>
      </c>
      <c r="E106" s="37" t="s">
        <v>31</v>
      </c>
      <c r="F106" s="95" t="s">
        <v>739</v>
      </c>
      <c r="G106" s="95" t="s">
        <v>974</v>
      </c>
      <c r="H106" s="96" t="s">
        <v>740</v>
      </c>
      <c r="I106" s="96" t="s">
        <v>741</v>
      </c>
      <c r="J106" s="96" t="s">
        <v>742</v>
      </c>
      <c r="K106" s="96" t="s">
        <v>1051</v>
      </c>
      <c r="L106" s="24" t="s">
        <v>285</v>
      </c>
      <c r="M106" s="38" t="s">
        <v>1430</v>
      </c>
      <c r="N106" s="38" t="s">
        <v>1430</v>
      </c>
      <c r="O106" s="38" t="s">
        <v>1430</v>
      </c>
      <c r="P106" s="38" t="s">
        <v>1430</v>
      </c>
      <c r="Q106" s="38" t="s">
        <v>1430</v>
      </c>
      <c r="R106" s="38" t="s">
        <v>1430</v>
      </c>
      <c r="S106" s="38" t="s">
        <v>1430</v>
      </c>
      <c r="T106" s="38" t="s">
        <v>1430</v>
      </c>
      <c r="U106" s="1" t="s">
        <v>1193</v>
      </c>
      <c r="V106" s="6" t="s">
        <v>1530</v>
      </c>
      <c r="W106" s="18" t="str">
        <f t="shared" si="3"/>
        <v xml:space="preserve">['A13', 'A13', 'VIDRIO REFLECTIVO BRONCE O GRIS 4MM', 'Mt²', 27.6, 26.5, 31.45, 29.15, 32.88, 30.48, 'Garcia 24 + 15% - cbba -  -  - santa puej -  - ', 0.00, 0.00, 0.00, 0.00, 0.00, 0.00, 0.00, 0.00], </v>
      </c>
      <c r="X106" s="18"/>
      <c r="AB106" s="1" t="str">
        <f t="shared" si="2"/>
        <v>['A13', 'A13', 'VIDRIO REFLECTIVO BRONCE O GRIS 4MM', 0, 'Mt²'],</v>
      </c>
    </row>
    <row r="107" spans="1:28" s="1" customFormat="1" ht="28.8" x14ac:dyDescent="0.3">
      <c r="A107" s="73">
        <v>101</v>
      </c>
      <c r="B107" s="11" t="s">
        <v>117</v>
      </c>
      <c r="C107" s="11" t="s">
        <v>117</v>
      </c>
      <c r="D107" s="83" t="s">
        <v>412</v>
      </c>
      <c r="E107" s="37" t="s">
        <v>31</v>
      </c>
      <c r="F107" s="95" t="s">
        <v>739</v>
      </c>
      <c r="G107" s="95" t="s">
        <v>974</v>
      </c>
      <c r="H107" s="96" t="s">
        <v>740</v>
      </c>
      <c r="I107" s="96" t="s">
        <v>741</v>
      </c>
      <c r="J107" s="96" t="s">
        <v>742</v>
      </c>
      <c r="K107" s="96" t="s">
        <v>1051</v>
      </c>
      <c r="L107" s="24" t="s">
        <v>285</v>
      </c>
      <c r="M107" s="38" t="s">
        <v>1430</v>
      </c>
      <c r="N107" s="38" t="s">
        <v>1430</v>
      </c>
      <c r="O107" s="38" t="s">
        <v>1430</v>
      </c>
      <c r="P107" s="38" t="s">
        <v>1430</v>
      </c>
      <c r="Q107" s="38" t="s">
        <v>1430</v>
      </c>
      <c r="R107" s="38" t="s">
        <v>1430</v>
      </c>
      <c r="S107" s="38" t="s">
        <v>1430</v>
      </c>
      <c r="T107" s="38" t="s">
        <v>1430</v>
      </c>
      <c r="U107" s="1" t="s">
        <v>1194</v>
      </c>
      <c r="V107" s="6" t="s">
        <v>1531</v>
      </c>
      <c r="W107" s="18" t="str">
        <f t="shared" si="3"/>
        <v xml:space="preserve">['A14', 'A14', 'VIDRIO REFLECTIVO BRONCE O GRIS 5MM', 'Mt²', 27.6, 26.5, 31.45, 29.15, 32.88, 30.48, 'Garcia 24 + 15% - cbba -  -  - santa puej -  - ', 0.00, 0.00, 0.00, 0.00, 0.00, 0.00, 0.00, 0.00], </v>
      </c>
      <c r="X107" s="18"/>
      <c r="AB107" s="1" t="str">
        <f t="shared" si="2"/>
        <v>['A14', 'A14', 'VIDRIO REFLECTIVO BRONCE O GRIS 5MM', 0, 'Mt²'],</v>
      </c>
    </row>
    <row r="108" spans="1:28" s="1" customFormat="1" ht="28.8" x14ac:dyDescent="0.3">
      <c r="A108" s="73">
        <v>102</v>
      </c>
      <c r="B108" s="11" t="s">
        <v>118</v>
      </c>
      <c r="C108" s="11" t="s">
        <v>118</v>
      </c>
      <c r="D108" s="83" t="s">
        <v>413</v>
      </c>
      <c r="E108" s="37" t="s">
        <v>31</v>
      </c>
      <c r="F108" s="95">
        <v>34</v>
      </c>
      <c r="G108" s="95">
        <v>33</v>
      </c>
      <c r="H108" s="96" t="s">
        <v>743</v>
      </c>
      <c r="I108" s="96" t="s">
        <v>744</v>
      </c>
      <c r="J108" s="96" t="s">
        <v>745</v>
      </c>
      <c r="K108" s="96" t="s">
        <v>1052</v>
      </c>
      <c r="L108" s="24" t="s">
        <v>273</v>
      </c>
      <c r="M108" s="38" t="s">
        <v>1430</v>
      </c>
      <c r="N108" s="38" t="s">
        <v>1430</v>
      </c>
      <c r="O108" s="38" t="s">
        <v>1430</v>
      </c>
      <c r="P108" s="38" t="s">
        <v>1430</v>
      </c>
      <c r="Q108" s="38" t="s">
        <v>1430</v>
      </c>
      <c r="R108" s="38" t="s">
        <v>1430</v>
      </c>
      <c r="S108" s="38" t="s">
        <v>1430</v>
      </c>
      <c r="T108" s="38" t="s">
        <v>1430</v>
      </c>
      <c r="U108" s="1" t="s">
        <v>1195</v>
      </c>
      <c r="V108" s="6" t="s">
        <v>1532</v>
      </c>
      <c r="W108" s="18" t="str">
        <f t="shared" si="3"/>
        <v xml:space="preserve">['A15', 'A15', 'VIDRIO REFLECTIVO BRONCE O GRIS 6MM', 'Mt²', 34, 33, 38.74, 36.3, 40.5, 37.95, ' - cbba -  -  - santa puej -  - ', 0.00, 0.00, 0.00, 0.00, 0.00, 0.00, 0.00, 0.00], </v>
      </c>
      <c r="X108" s="18"/>
      <c r="AB108" s="1" t="str">
        <f t="shared" si="2"/>
        <v>['A15', 'A15', 'VIDRIO REFLECTIVO BRONCE O GRIS 6MM', 0, 'Mt²'],</v>
      </c>
    </row>
    <row r="109" spans="1:28" s="1" customFormat="1" ht="28.8" x14ac:dyDescent="0.3">
      <c r="A109" s="73">
        <v>103</v>
      </c>
      <c r="B109" s="11" t="s">
        <v>119</v>
      </c>
      <c r="C109" s="11" t="s">
        <v>119</v>
      </c>
      <c r="D109" s="83" t="s">
        <v>414</v>
      </c>
      <c r="E109" s="37" t="s">
        <v>31</v>
      </c>
      <c r="F109" s="95">
        <v>37</v>
      </c>
      <c r="G109" s="95">
        <v>36</v>
      </c>
      <c r="H109" s="96" t="s">
        <v>747</v>
      </c>
      <c r="I109" s="96" t="s">
        <v>569</v>
      </c>
      <c r="J109" s="96" t="s">
        <v>748</v>
      </c>
      <c r="K109" s="96" t="s">
        <v>1006</v>
      </c>
      <c r="L109" s="17" t="s">
        <v>273</v>
      </c>
      <c r="M109" s="38" t="s">
        <v>1430</v>
      </c>
      <c r="N109" s="38" t="s">
        <v>1430</v>
      </c>
      <c r="O109" s="38" t="s">
        <v>1430</v>
      </c>
      <c r="P109" s="38" t="s">
        <v>1430</v>
      </c>
      <c r="Q109" s="38" t="s">
        <v>1430</v>
      </c>
      <c r="R109" s="38" t="s">
        <v>1430</v>
      </c>
      <c r="S109" s="38" t="s">
        <v>1430</v>
      </c>
      <c r="T109" s="38" t="s">
        <v>1430</v>
      </c>
      <c r="U109" s="1" t="s">
        <v>1196</v>
      </c>
      <c r="V109" s="6" t="s">
        <v>1533</v>
      </c>
      <c r="W109" s="18" t="str">
        <f t="shared" si="3"/>
        <v xml:space="preserve">['A16', 'A16', 'VIDRIO REFLECTIVO AZURLITE 4MM', 'Mt²', 37, 36, 42.16, 39.6, 44.07, 41.4, ' - cbba -  -  - santa puej -  - ', 0.00, 0.00, 0.00, 0.00, 0.00, 0.00, 0.00, 0.00], </v>
      </c>
      <c r="X109" s="18"/>
      <c r="AB109" s="1" t="str">
        <f t="shared" si="2"/>
        <v>['A16', 'A16', 'VIDRIO REFLECTIVO AZURLITE 4MM', 0, 'Mt²'],</v>
      </c>
    </row>
    <row r="110" spans="1:28" s="1" customFormat="1" ht="28.8" x14ac:dyDescent="0.3">
      <c r="A110" s="73">
        <v>104</v>
      </c>
      <c r="B110" s="11" t="s">
        <v>120</v>
      </c>
      <c r="C110" s="11" t="s">
        <v>120</v>
      </c>
      <c r="D110" s="83" t="s">
        <v>415</v>
      </c>
      <c r="E110" s="37" t="s">
        <v>31</v>
      </c>
      <c r="F110" s="95">
        <v>39</v>
      </c>
      <c r="G110" s="95">
        <v>38</v>
      </c>
      <c r="H110" s="96" t="s">
        <v>749</v>
      </c>
      <c r="I110" s="96" t="s">
        <v>566</v>
      </c>
      <c r="J110" s="96" t="s">
        <v>750</v>
      </c>
      <c r="K110" s="96" t="s">
        <v>1005</v>
      </c>
      <c r="L110" s="17" t="s">
        <v>273</v>
      </c>
      <c r="M110" s="38" t="s">
        <v>1430</v>
      </c>
      <c r="N110" s="38" t="s">
        <v>1430</v>
      </c>
      <c r="O110" s="38" t="s">
        <v>1430</v>
      </c>
      <c r="P110" s="38" t="s">
        <v>1430</v>
      </c>
      <c r="Q110" s="38" t="s">
        <v>1430</v>
      </c>
      <c r="R110" s="38" t="s">
        <v>1430</v>
      </c>
      <c r="S110" s="38" t="s">
        <v>1430</v>
      </c>
      <c r="T110" s="38" t="s">
        <v>1430</v>
      </c>
      <c r="U110" s="1" t="s">
        <v>1197</v>
      </c>
      <c r="V110" s="6" t="s">
        <v>1534</v>
      </c>
      <c r="W110" s="18" t="str">
        <f t="shared" si="3"/>
        <v xml:space="preserve">['A17', 'A17', 'VIDRIO REFLECTIVO AZURLITE 5MM', 'Mt²', 39, 38, 44.44, 41.8, 46.46, 43.7, ' - cbba -  -  - santa puej -  - ', 0.00, 0.00, 0.00, 0.00, 0.00, 0.00, 0.00, 0.00], </v>
      </c>
      <c r="X110" s="18"/>
      <c r="AB110" s="1" t="str">
        <f t="shared" si="2"/>
        <v>['A17', 'A17', 'VIDRIO REFLECTIVO AZURLITE 5MM', 0, 'Mt²'],</v>
      </c>
    </row>
    <row r="111" spans="1:28" s="1" customFormat="1" ht="28.8" x14ac:dyDescent="0.3">
      <c r="A111" s="73">
        <v>105</v>
      </c>
      <c r="B111" s="11" t="s">
        <v>121</v>
      </c>
      <c r="C111" s="11" t="s">
        <v>121</v>
      </c>
      <c r="D111" s="83" t="s">
        <v>416</v>
      </c>
      <c r="E111" s="37" t="s">
        <v>31</v>
      </c>
      <c r="F111" s="95" t="s">
        <v>751</v>
      </c>
      <c r="G111" s="95" t="s">
        <v>975</v>
      </c>
      <c r="H111" s="96" t="s">
        <v>752</v>
      </c>
      <c r="I111" s="96" t="s">
        <v>753</v>
      </c>
      <c r="J111" s="96" t="s">
        <v>754</v>
      </c>
      <c r="K111" s="96" t="s">
        <v>1053</v>
      </c>
      <c r="L111" s="24" t="s">
        <v>286</v>
      </c>
      <c r="M111" s="38" t="s">
        <v>1430</v>
      </c>
      <c r="N111" s="38" t="s">
        <v>1430</v>
      </c>
      <c r="O111" s="38" t="s">
        <v>1430</v>
      </c>
      <c r="P111" s="38" t="s">
        <v>1430</v>
      </c>
      <c r="Q111" s="38" t="s">
        <v>1430</v>
      </c>
      <c r="R111" s="38" t="s">
        <v>1430</v>
      </c>
      <c r="S111" s="38" t="s">
        <v>1430</v>
      </c>
      <c r="T111" s="38" t="s">
        <v>1430</v>
      </c>
      <c r="U111" s="1" t="s">
        <v>1198</v>
      </c>
      <c r="V111" s="6" t="s">
        <v>1535</v>
      </c>
      <c r="W111" s="18" t="str">
        <f t="shared" si="3"/>
        <v xml:space="preserve">['A18', 'A18', 'VIDRIO REFLECTIVO AZURLITE 6MM', 'Mt²', 42.55, 40.85, 48.48, 44.94, 50.69, 46.98, 'Garcia 37 + 15% - cbba -  -  - santa puej -  - ', 0.00, 0.00, 0.00, 0.00, 0.00, 0.00, 0.00, 0.00], </v>
      </c>
      <c r="X111" s="18"/>
      <c r="AB111" s="1" t="str">
        <f t="shared" si="2"/>
        <v>['A18', 'A18', 'VIDRIO REFLECTIVO AZURLITE 6MM', 0, 'Mt²'],</v>
      </c>
    </row>
    <row r="112" spans="1:28" s="1" customFormat="1" ht="28.8" x14ac:dyDescent="0.3">
      <c r="A112" s="73">
        <v>106</v>
      </c>
      <c r="B112" s="11" t="s">
        <v>122</v>
      </c>
      <c r="C112" s="11" t="s">
        <v>122</v>
      </c>
      <c r="D112" s="83" t="s">
        <v>1318</v>
      </c>
      <c r="E112" s="37" t="s">
        <v>13</v>
      </c>
      <c r="F112" s="95" t="s">
        <v>755</v>
      </c>
      <c r="G112" s="95" t="s">
        <v>756</v>
      </c>
      <c r="H112" s="96" t="s">
        <v>757</v>
      </c>
      <c r="I112" s="96" t="s">
        <v>758</v>
      </c>
      <c r="J112" s="96" t="s">
        <v>759</v>
      </c>
      <c r="K112" s="96" t="s">
        <v>1054</v>
      </c>
      <c r="L112" s="17" t="s">
        <v>287</v>
      </c>
      <c r="M112" s="38" t="s">
        <v>1430</v>
      </c>
      <c r="N112" s="38" t="s">
        <v>1430</v>
      </c>
      <c r="O112" s="38" t="s">
        <v>1430</v>
      </c>
      <c r="P112" s="38" t="s">
        <v>1430</v>
      </c>
      <c r="Q112" s="38" t="s">
        <v>1430</v>
      </c>
      <c r="R112" s="38" t="s">
        <v>1430</v>
      </c>
      <c r="S112" s="38" t="s">
        <v>1430</v>
      </c>
      <c r="T112" s="38" t="s">
        <v>1430</v>
      </c>
      <c r="U112" s="1" t="s">
        <v>1199</v>
      </c>
      <c r="V112" s="6" t="s">
        <v>1536</v>
      </c>
      <c r="W112" s="18" t="str">
        <f t="shared" si="3"/>
        <v xml:space="preserve">['A19', 'A19', 'CINTA DOB.CONT. 4972 - 3M 1/2 Pulg.=12MM (ROLLO DE 20)', 'Rollo', 26.2, 24.89, 29.85, 27.38, 31.21, 28.63, 'America home center - cbba -  -  - santa puej -  - ', 0.00, 0.00, 0.00, 0.00, 0.00, 0.00, 0.00, 0.00], </v>
      </c>
      <c r="X112" s="18"/>
      <c r="AB112" s="1" t="str">
        <f t="shared" si="2"/>
        <v>['A19', 'A19', 'CINTA DOB.CONT. 4972 - 3M 1/2 Pulg.=12MM (ROLLO DE 20)', 0, 'Rollo'],</v>
      </c>
    </row>
    <row r="113" spans="1:28" s="1" customFormat="1" ht="28.8" x14ac:dyDescent="0.3">
      <c r="A113" s="73">
        <v>107</v>
      </c>
      <c r="B113" s="11" t="s">
        <v>123</v>
      </c>
      <c r="C113" s="11" t="s">
        <v>123</v>
      </c>
      <c r="D113" s="83" t="s">
        <v>1319</v>
      </c>
      <c r="E113" s="37" t="s">
        <v>13</v>
      </c>
      <c r="F113" s="95">
        <v>42</v>
      </c>
      <c r="G113" s="95" t="s">
        <v>559</v>
      </c>
      <c r="H113" s="96" t="s">
        <v>563</v>
      </c>
      <c r="I113" s="96" t="s">
        <v>561</v>
      </c>
      <c r="J113" s="96" t="s">
        <v>564</v>
      </c>
      <c r="K113" s="96" t="s">
        <v>1004</v>
      </c>
      <c r="L113" s="17" t="s">
        <v>287</v>
      </c>
      <c r="M113" s="38" t="s">
        <v>1430</v>
      </c>
      <c r="N113" s="38" t="s">
        <v>1430</v>
      </c>
      <c r="O113" s="38" t="s">
        <v>1430</v>
      </c>
      <c r="P113" s="38" t="s">
        <v>1430</v>
      </c>
      <c r="Q113" s="38" t="s">
        <v>1430</v>
      </c>
      <c r="R113" s="38" t="s">
        <v>1430</v>
      </c>
      <c r="S113" s="38" t="s">
        <v>1430</v>
      </c>
      <c r="T113" s="38" t="s">
        <v>1430</v>
      </c>
      <c r="U113" s="1" t="s">
        <v>1200</v>
      </c>
      <c r="V113" s="6" t="s">
        <v>1537</v>
      </c>
      <c r="W113" s="18" t="str">
        <f t="shared" si="3"/>
        <v xml:space="preserve">['A20', 'A20', 'CINTA DOB.CONT. 4972 - 3M 3/4 Pulg.=19MM (ROLLO DE 20)', 'Rollo', 42, 39.9, 47.85, 43.89, 50.03, 45.89, 'America home center - cbba -  -  - santa puej -  - ', 0.00, 0.00, 0.00, 0.00, 0.00, 0.00, 0.00, 0.00], </v>
      </c>
      <c r="X113" s="18"/>
      <c r="AB113" s="1" t="str">
        <f t="shared" si="2"/>
        <v>['A20', 'A20', 'CINTA DOB.CONT. 4972 - 3M 3/4 Pulg.=19MM (ROLLO DE 20)', 0, 'Rollo'],</v>
      </c>
    </row>
    <row r="114" spans="1:28" s="1" customFormat="1" ht="28.8" x14ac:dyDescent="0.3">
      <c r="A114" s="73">
        <v>108</v>
      </c>
      <c r="B114" s="11" t="s">
        <v>124</v>
      </c>
      <c r="C114" s="11" t="s">
        <v>124</v>
      </c>
      <c r="D114" s="83" t="s">
        <v>1320</v>
      </c>
      <c r="E114" s="37" t="s">
        <v>13</v>
      </c>
      <c r="F114" s="95">
        <v>65</v>
      </c>
      <c r="G114" s="95" t="s">
        <v>760</v>
      </c>
      <c r="H114" s="96" t="s">
        <v>761</v>
      </c>
      <c r="I114" s="96" t="s">
        <v>762</v>
      </c>
      <c r="J114" s="96" t="s">
        <v>763</v>
      </c>
      <c r="K114" s="96" t="s">
        <v>1055</v>
      </c>
      <c r="L114" s="17" t="s">
        <v>287</v>
      </c>
      <c r="M114" s="38" t="s">
        <v>1430</v>
      </c>
      <c r="N114" s="38" t="s">
        <v>1430</v>
      </c>
      <c r="O114" s="38" t="s">
        <v>1430</v>
      </c>
      <c r="P114" s="38" t="s">
        <v>1430</v>
      </c>
      <c r="Q114" s="38" t="s">
        <v>1430</v>
      </c>
      <c r="R114" s="38" t="s">
        <v>1430</v>
      </c>
      <c r="S114" s="38" t="s">
        <v>1430</v>
      </c>
      <c r="T114" s="38" t="s">
        <v>1430</v>
      </c>
      <c r="U114" s="1" t="s">
        <v>1201</v>
      </c>
      <c r="V114" s="6" t="s">
        <v>1538</v>
      </c>
      <c r="W114" s="18" t="str">
        <f t="shared" si="3"/>
        <v xml:space="preserve">['A21', 'A21', 'CINTA DOB.CONT. 4972 - 3M 1 Pulg.=25MM (ROLLO DE 20)', 'Rollo', 65, 61.75, 74.06, 67.93, 77.42, 71.02, 'America home center - cbba -  -  - santa puej -  - ', 0.00, 0.00, 0.00, 0.00, 0.00, 0.00, 0.00, 0.00], </v>
      </c>
      <c r="X114" s="18"/>
      <c r="AB114" s="1" t="str">
        <f t="shared" si="2"/>
        <v>['A21', 'A21', 'CINTA DOB.CONT. 4972 - 3M 1 Pulg.=25MM (ROLLO DE 20)', 0, 'Rollo'],</v>
      </c>
    </row>
    <row r="115" spans="1:28" s="1" customFormat="1" ht="28.8" x14ac:dyDescent="0.3">
      <c r="A115" s="73">
        <v>109</v>
      </c>
      <c r="B115" s="11" t="s">
        <v>125</v>
      </c>
      <c r="C115" s="11" t="s">
        <v>125</v>
      </c>
      <c r="D115" s="83" t="s">
        <v>332</v>
      </c>
      <c r="E115" s="37" t="s">
        <v>15</v>
      </c>
      <c r="F115" s="95" t="s">
        <v>764</v>
      </c>
      <c r="G115" s="95" t="s">
        <v>764</v>
      </c>
      <c r="H115" s="96" t="s">
        <v>765</v>
      </c>
      <c r="I115" s="96" t="s">
        <v>765</v>
      </c>
      <c r="J115" s="96" t="s">
        <v>527</v>
      </c>
      <c r="K115" s="96" t="s">
        <v>765</v>
      </c>
      <c r="L115" s="17" t="s">
        <v>288</v>
      </c>
      <c r="M115" s="38" t="s">
        <v>1430</v>
      </c>
      <c r="N115" s="38" t="s">
        <v>1430</v>
      </c>
      <c r="O115" s="38" t="s">
        <v>1430</v>
      </c>
      <c r="P115" s="38" t="s">
        <v>1430</v>
      </c>
      <c r="Q115" s="38" t="s">
        <v>1430</v>
      </c>
      <c r="R115" s="38" t="s">
        <v>1430</v>
      </c>
      <c r="S115" s="38" t="s">
        <v>1430</v>
      </c>
      <c r="T115" s="38" t="s">
        <v>1430</v>
      </c>
      <c r="U115" s="1" t="s">
        <v>1202</v>
      </c>
      <c r="V115" s="6" t="s">
        <v>1539</v>
      </c>
      <c r="W115" s="18" t="str">
        <f t="shared" si="3"/>
        <v xml:space="preserve">['A22', 'A22', 'FELPA', 'Mt lineal', 0.12, 0.12, 0.14, 0.14, 0.15, 0.14, 'Indalum - cbba -  -  - santa puej -  - ', 0.00, 0.00, 0.00, 0.00, 0.00, 0.00, 0.00, 0.00], </v>
      </c>
      <c r="X115" s="18"/>
      <c r="AB115" s="1" t="str">
        <f t="shared" si="2"/>
        <v>['A22', 'A22', 'FELPA', 0, 'Mt lineal'],</v>
      </c>
    </row>
    <row r="116" spans="1:28" s="1" customFormat="1" ht="28.8" x14ac:dyDescent="0.3">
      <c r="A116" s="73">
        <v>110</v>
      </c>
      <c r="B116" s="11" t="s">
        <v>126</v>
      </c>
      <c r="C116" s="11" t="s">
        <v>126</v>
      </c>
      <c r="D116" s="83" t="s">
        <v>420</v>
      </c>
      <c r="E116" s="37" t="s">
        <v>15</v>
      </c>
      <c r="F116" s="95" t="s">
        <v>766</v>
      </c>
      <c r="G116" s="95" t="s">
        <v>766</v>
      </c>
      <c r="H116" s="96" t="s">
        <v>767</v>
      </c>
      <c r="I116" s="96" t="s">
        <v>768</v>
      </c>
      <c r="J116" s="96" t="s">
        <v>769</v>
      </c>
      <c r="K116" s="96" t="s">
        <v>767</v>
      </c>
      <c r="L116" s="17" t="s">
        <v>288</v>
      </c>
      <c r="M116" s="38" t="s">
        <v>1430</v>
      </c>
      <c r="N116" s="38" t="s">
        <v>1430</v>
      </c>
      <c r="O116" s="38" t="s">
        <v>1430</v>
      </c>
      <c r="P116" s="38" t="s">
        <v>1430</v>
      </c>
      <c r="Q116" s="38" t="s">
        <v>1430</v>
      </c>
      <c r="R116" s="38" t="s">
        <v>1430</v>
      </c>
      <c r="S116" s="38" t="s">
        <v>1430</v>
      </c>
      <c r="T116" s="38" t="s">
        <v>1430</v>
      </c>
      <c r="U116" s="1" t="s">
        <v>1203</v>
      </c>
      <c r="V116" s="6" t="s">
        <v>1540</v>
      </c>
      <c r="W116" s="18" t="str">
        <f t="shared" si="3"/>
        <v xml:space="preserve">['A23', 'A23', 'BURLETE', 'Mt lineal', 0.3, 0.3, 0.35, 0.33, 0.36, 0.35, 'Indalum - cbba -  -  - santa puej -  - ', 0.00, 0.00, 0.00, 0.00, 0.00, 0.00, 0.00, 0.00], </v>
      </c>
      <c r="X116" s="18"/>
      <c r="AB116" s="1" t="str">
        <f t="shared" si="2"/>
        <v>['A23', 'A23', 'BURLETE', 0, 'Mt lineal'],</v>
      </c>
    </row>
    <row r="117" spans="1:28" s="1" customFormat="1" ht="28.8" x14ac:dyDescent="0.3">
      <c r="A117" s="73">
        <v>111</v>
      </c>
      <c r="B117" s="11" t="s">
        <v>127</v>
      </c>
      <c r="C117" s="11" t="s">
        <v>127</v>
      </c>
      <c r="D117" s="83" t="s">
        <v>421</v>
      </c>
      <c r="E117" s="37" t="s">
        <v>24</v>
      </c>
      <c r="F117" s="95" t="s">
        <v>770</v>
      </c>
      <c r="G117" s="95" t="s">
        <v>770</v>
      </c>
      <c r="H117" s="96" t="s">
        <v>608</v>
      </c>
      <c r="I117" s="96" t="s">
        <v>606</v>
      </c>
      <c r="J117" s="96" t="s">
        <v>771</v>
      </c>
      <c r="K117" s="96" t="s">
        <v>1056</v>
      </c>
      <c r="L117" s="17" t="s">
        <v>288</v>
      </c>
      <c r="M117" s="38" t="s">
        <v>1430</v>
      </c>
      <c r="N117" s="38" t="s">
        <v>1430</v>
      </c>
      <c r="O117" s="38" t="s">
        <v>1430</v>
      </c>
      <c r="P117" s="38" t="s">
        <v>1430</v>
      </c>
      <c r="Q117" s="38" t="s">
        <v>1430</v>
      </c>
      <c r="R117" s="38" t="s">
        <v>1430</v>
      </c>
      <c r="S117" s="38" t="s">
        <v>1430</v>
      </c>
      <c r="T117" s="38" t="s">
        <v>1430</v>
      </c>
      <c r="U117" s="1" t="s">
        <v>1204</v>
      </c>
      <c r="V117" s="6" t="s">
        <v>1541</v>
      </c>
      <c r="W117" s="18" t="str">
        <f t="shared" si="3"/>
        <v xml:space="preserve">['A24', 'A24', 'PATIN SERIE 25', 'Pza.', 1.2, 1.2, 1.37, 1.32, 1.43, 1.38, 'Indalum - cbba -  -  - santa puej -  - ', 0.00, 0.00, 0.00, 0.00, 0.00, 0.00, 0.00, 0.00], </v>
      </c>
      <c r="X117" s="18"/>
      <c r="AB117" s="1" t="str">
        <f t="shared" si="2"/>
        <v>['A24', 'A24', 'PATIN SERIE 25', 0, 'Pza.'],</v>
      </c>
    </row>
    <row r="118" spans="1:28" s="1" customFormat="1" ht="28.8" x14ac:dyDescent="0.3">
      <c r="A118" s="73">
        <v>112</v>
      </c>
      <c r="B118" s="11" t="s">
        <v>128</v>
      </c>
      <c r="C118" s="11" t="s">
        <v>128</v>
      </c>
      <c r="D118" s="83" t="s">
        <v>422</v>
      </c>
      <c r="E118" s="37" t="s">
        <v>24</v>
      </c>
      <c r="F118" s="95" t="s">
        <v>773</v>
      </c>
      <c r="G118" s="95" t="s">
        <v>773</v>
      </c>
      <c r="H118" s="96" t="s">
        <v>774</v>
      </c>
      <c r="I118" s="96" t="s">
        <v>775</v>
      </c>
      <c r="J118" s="96" t="s">
        <v>776</v>
      </c>
      <c r="K118" s="96" t="s">
        <v>1057</v>
      </c>
      <c r="L118" s="17" t="s">
        <v>288</v>
      </c>
      <c r="M118" s="38" t="s">
        <v>1430</v>
      </c>
      <c r="N118" s="38" t="s">
        <v>1430</v>
      </c>
      <c r="O118" s="38" t="s">
        <v>1430</v>
      </c>
      <c r="P118" s="38" t="s">
        <v>1430</v>
      </c>
      <c r="Q118" s="38" t="s">
        <v>1430</v>
      </c>
      <c r="R118" s="38" t="s">
        <v>1430</v>
      </c>
      <c r="S118" s="38" t="s">
        <v>1430</v>
      </c>
      <c r="T118" s="38" t="s">
        <v>1430</v>
      </c>
      <c r="U118" s="1" t="s">
        <v>1205</v>
      </c>
      <c r="V118" s="6" t="s">
        <v>1542</v>
      </c>
      <c r="W118" s="18" t="str">
        <f t="shared" si="3"/>
        <v xml:space="preserve">['A25', 'A25', 'PATIN SERIE 20', 'Pza.', 0.5, 0.5, 0.57, 0.55, 0.6, 0.58, 'Indalum - cbba -  -  - santa puej -  - ', 0.00, 0.00, 0.00, 0.00, 0.00, 0.00, 0.00, 0.00], </v>
      </c>
      <c r="X118" s="18"/>
      <c r="AB118" s="1" t="str">
        <f t="shared" si="2"/>
        <v>['A25', 'A25', 'PATIN SERIE 20', 0, 'Pza.'],</v>
      </c>
    </row>
    <row r="119" spans="1:28" s="1" customFormat="1" ht="28.8" x14ac:dyDescent="0.3">
      <c r="A119" s="73">
        <v>113</v>
      </c>
      <c r="B119" s="11" t="s">
        <v>129</v>
      </c>
      <c r="C119" s="11" t="s">
        <v>129</v>
      </c>
      <c r="D119" s="83" t="s">
        <v>423</v>
      </c>
      <c r="E119" s="37" t="s">
        <v>24</v>
      </c>
      <c r="F119" s="95" t="s">
        <v>777</v>
      </c>
      <c r="G119" s="95" t="s">
        <v>777</v>
      </c>
      <c r="H119" s="96" t="s">
        <v>778</v>
      </c>
      <c r="I119" s="96" t="s">
        <v>779</v>
      </c>
      <c r="J119" s="96" t="s">
        <v>780</v>
      </c>
      <c r="K119" s="96" t="s">
        <v>778</v>
      </c>
      <c r="L119" s="17" t="s">
        <v>288</v>
      </c>
      <c r="M119" s="38" t="s">
        <v>1430</v>
      </c>
      <c r="N119" s="38" t="s">
        <v>1430</v>
      </c>
      <c r="O119" s="38" t="s">
        <v>1430</v>
      </c>
      <c r="P119" s="38" t="s">
        <v>1430</v>
      </c>
      <c r="Q119" s="38" t="s">
        <v>1430</v>
      </c>
      <c r="R119" s="38" t="s">
        <v>1430</v>
      </c>
      <c r="S119" s="38" t="s">
        <v>1430</v>
      </c>
      <c r="T119" s="38" t="s">
        <v>1430</v>
      </c>
      <c r="U119" s="1" t="s">
        <v>1206</v>
      </c>
      <c r="V119" s="6" t="s">
        <v>1543</v>
      </c>
      <c r="W119" s="18" t="str">
        <f t="shared" si="3"/>
        <v xml:space="preserve">['A26', 'A26', 'PATIN SERIE 50', 'Pza.', 0.4, 0.4, 0.46, 0.44, 0.48, 0.46, 'Indalum - cbba -  -  - santa puej -  - ', 0.00, 0.00, 0.00, 0.00, 0.00, 0.00, 0.00, 0.00], </v>
      </c>
      <c r="X119" s="18"/>
      <c r="AB119" s="1" t="str">
        <f t="shared" si="2"/>
        <v>['A26', 'A26', 'PATIN SERIE 50', 0, 'Pza.'],</v>
      </c>
    </row>
    <row r="120" spans="1:28" s="1" customFormat="1" ht="28.8" x14ac:dyDescent="0.3">
      <c r="A120" s="73">
        <v>114</v>
      </c>
      <c r="B120" s="11" t="s">
        <v>130</v>
      </c>
      <c r="C120" s="11" t="s">
        <v>130</v>
      </c>
      <c r="D120" s="83" t="s">
        <v>424</v>
      </c>
      <c r="E120" s="37" t="s">
        <v>24</v>
      </c>
      <c r="F120" s="95" t="s">
        <v>777</v>
      </c>
      <c r="G120" s="95" t="s">
        <v>777</v>
      </c>
      <c r="H120" s="96" t="s">
        <v>778</v>
      </c>
      <c r="I120" s="96" t="s">
        <v>779</v>
      </c>
      <c r="J120" s="96" t="s">
        <v>780</v>
      </c>
      <c r="K120" s="96" t="s">
        <v>778</v>
      </c>
      <c r="L120" s="17" t="s">
        <v>288</v>
      </c>
      <c r="M120" s="38" t="s">
        <v>1430</v>
      </c>
      <c r="N120" s="38" t="s">
        <v>1430</v>
      </c>
      <c r="O120" s="38" t="s">
        <v>1430</v>
      </c>
      <c r="P120" s="38" t="s">
        <v>1430</v>
      </c>
      <c r="Q120" s="38" t="s">
        <v>1430</v>
      </c>
      <c r="R120" s="38" t="s">
        <v>1430</v>
      </c>
      <c r="S120" s="38" t="s">
        <v>1430</v>
      </c>
      <c r="T120" s="38" t="s">
        <v>1430</v>
      </c>
      <c r="U120" s="1" t="s">
        <v>1207</v>
      </c>
      <c r="V120" s="6" t="s">
        <v>1544</v>
      </c>
      <c r="W120" s="18" t="str">
        <f t="shared" si="3"/>
        <v xml:space="preserve">['A27', 'A27', 'PATIN SERIE 4000', 'Pza.', 0.4, 0.4, 0.46, 0.44, 0.48, 0.46, 'Indalum - cbba -  -  - santa puej -  - ', 0.00, 0.00, 0.00, 0.00, 0.00, 0.00, 0.00, 0.00], </v>
      </c>
      <c r="X120" s="18"/>
      <c r="AB120" s="1" t="str">
        <f t="shared" si="2"/>
        <v>['A27', 'A27', 'PATIN SERIE 4000', 0, 'Pza.'],</v>
      </c>
    </row>
    <row r="121" spans="1:28" s="1" customFormat="1" ht="28.8" x14ac:dyDescent="0.3">
      <c r="A121" s="73">
        <v>115</v>
      </c>
      <c r="B121" s="11" t="s">
        <v>131</v>
      </c>
      <c r="C121" s="11" t="s">
        <v>131</v>
      </c>
      <c r="D121" s="83" t="s">
        <v>425</v>
      </c>
      <c r="E121" s="37" t="s">
        <v>24</v>
      </c>
      <c r="F121" s="95" t="s">
        <v>773</v>
      </c>
      <c r="G121" s="95" t="s">
        <v>773</v>
      </c>
      <c r="H121" s="96" t="s">
        <v>774</v>
      </c>
      <c r="I121" s="96" t="s">
        <v>775</v>
      </c>
      <c r="J121" s="96" t="s">
        <v>776</v>
      </c>
      <c r="K121" s="96" t="s">
        <v>1057</v>
      </c>
      <c r="L121" s="17" t="s">
        <v>288</v>
      </c>
      <c r="M121" s="38" t="s">
        <v>1430</v>
      </c>
      <c r="N121" s="38" t="s">
        <v>1430</v>
      </c>
      <c r="O121" s="38" t="s">
        <v>1430</v>
      </c>
      <c r="P121" s="38" t="s">
        <v>1430</v>
      </c>
      <c r="Q121" s="38" t="s">
        <v>1430</v>
      </c>
      <c r="R121" s="38" t="s">
        <v>1430</v>
      </c>
      <c r="S121" s="38" t="s">
        <v>1430</v>
      </c>
      <c r="T121" s="38" t="s">
        <v>1430</v>
      </c>
      <c r="U121" s="1" t="s">
        <v>1208</v>
      </c>
      <c r="V121" s="6" t="s">
        <v>1545</v>
      </c>
      <c r="W121" s="18" t="str">
        <f t="shared" si="3"/>
        <v xml:space="preserve">['A28', 'A28', 'PATIN SHOWER DOOR', 'Pza.', 0.5, 0.5, 0.57, 0.55, 0.6, 0.58, 'Indalum - cbba -  -  - santa puej -  - ', 0.00, 0.00, 0.00, 0.00, 0.00, 0.00, 0.00, 0.00], </v>
      </c>
      <c r="X121" s="18"/>
      <c r="AB121" s="1" t="str">
        <f t="shared" si="2"/>
        <v>['A28', 'A28', 'PATIN SHOWER DOOR', 0, 'Pza.'],</v>
      </c>
    </row>
    <row r="122" spans="1:28" s="1" customFormat="1" ht="28.8" x14ac:dyDescent="0.3">
      <c r="A122" s="73">
        <v>116</v>
      </c>
      <c r="B122" s="11" t="s">
        <v>132</v>
      </c>
      <c r="C122" s="11" t="s">
        <v>132</v>
      </c>
      <c r="D122" s="83" t="s">
        <v>426</v>
      </c>
      <c r="E122" s="37" t="s">
        <v>24</v>
      </c>
      <c r="F122" s="95" t="s">
        <v>781</v>
      </c>
      <c r="G122" s="95" t="s">
        <v>781</v>
      </c>
      <c r="H122" s="96" t="s">
        <v>782</v>
      </c>
      <c r="I122" s="96" t="s">
        <v>783</v>
      </c>
      <c r="J122" s="96" t="s">
        <v>784</v>
      </c>
      <c r="K122" s="96" t="s">
        <v>1058</v>
      </c>
      <c r="L122" s="17" t="s">
        <v>288</v>
      </c>
      <c r="M122" s="38" t="s">
        <v>1430</v>
      </c>
      <c r="N122" s="38" t="s">
        <v>1430</v>
      </c>
      <c r="O122" s="38" t="s">
        <v>1430</v>
      </c>
      <c r="P122" s="38" t="s">
        <v>1430</v>
      </c>
      <c r="Q122" s="38" t="s">
        <v>1430</v>
      </c>
      <c r="R122" s="38" t="s">
        <v>1430</v>
      </c>
      <c r="S122" s="38" t="s">
        <v>1430</v>
      </c>
      <c r="T122" s="38" t="s">
        <v>1430</v>
      </c>
      <c r="U122" s="1" t="s">
        <v>1209</v>
      </c>
      <c r="V122" s="6" t="s">
        <v>1546</v>
      </c>
      <c r="W122" s="18" t="str">
        <f t="shared" si="3"/>
        <v xml:space="preserve">['A29', 'A29', 'CIERRE SERIE 20', 'Pza.', 1.6, 1.6, 1.83, 1.76, 1.91, 1.84, 'Indalum - cbba -  -  - santa puej -  - ', 0.00, 0.00, 0.00, 0.00, 0.00, 0.00, 0.00, 0.00], </v>
      </c>
      <c r="X122" s="18"/>
      <c r="AB122" s="1" t="str">
        <f t="shared" si="2"/>
        <v>['A29', 'A29', 'CIERRE SERIE 20', 0, 'Pza.'],</v>
      </c>
    </row>
    <row r="123" spans="1:28" s="1" customFormat="1" ht="28.8" x14ac:dyDescent="0.3">
      <c r="A123" s="73">
        <v>117</v>
      </c>
      <c r="B123" s="11" t="s">
        <v>133</v>
      </c>
      <c r="C123" s="11" t="s">
        <v>133</v>
      </c>
      <c r="D123" s="83" t="s">
        <v>427</v>
      </c>
      <c r="E123" s="37" t="s">
        <v>24</v>
      </c>
      <c r="F123" s="95">
        <v>3</v>
      </c>
      <c r="G123" s="95">
        <v>3</v>
      </c>
      <c r="H123" s="96" t="s">
        <v>594</v>
      </c>
      <c r="I123" s="96" t="s">
        <v>595</v>
      </c>
      <c r="J123" s="96" t="s">
        <v>596</v>
      </c>
      <c r="K123" s="96" t="s">
        <v>1014</v>
      </c>
      <c r="L123" s="17" t="s">
        <v>288</v>
      </c>
      <c r="M123" s="38" t="s">
        <v>1430</v>
      </c>
      <c r="N123" s="38" t="s">
        <v>1430</v>
      </c>
      <c r="O123" s="38" t="s">
        <v>1430</v>
      </c>
      <c r="P123" s="38" t="s">
        <v>1430</v>
      </c>
      <c r="Q123" s="38" t="s">
        <v>1430</v>
      </c>
      <c r="R123" s="38" t="s">
        <v>1430</v>
      </c>
      <c r="S123" s="38" t="s">
        <v>1430</v>
      </c>
      <c r="T123" s="38" t="s">
        <v>1430</v>
      </c>
      <c r="U123" s="1" t="s">
        <v>1210</v>
      </c>
      <c r="V123" s="6" t="s">
        <v>1547</v>
      </c>
      <c r="W123" s="18" t="str">
        <f t="shared" si="3"/>
        <v xml:space="preserve">['A30', 'A30', 'CIERRE SERIE 25', 'Pza.', 3, 3, 3.42, 3.3, 3.58, 3.45, 'Indalum - cbba -  -  - santa puej -  - ', 0.00, 0.00, 0.00, 0.00, 0.00, 0.00, 0.00, 0.00], </v>
      </c>
      <c r="X123" s="18"/>
      <c r="AB123" s="1" t="str">
        <f t="shared" si="2"/>
        <v>['A30', 'A30', 'CIERRE SERIE 25', 0, 'Pza.'],</v>
      </c>
    </row>
    <row r="124" spans="1:28" s="1" customFormat="1" ht="28.8" x14ac:dyDescent="0.3">
      <c r="A124" s="73">
        <v>118</v>
      </c>
      <c r="B124" s="11" t="s">
        <v>134</v>
      </c>
      <c r="C124" s="11" t="s">
        <v>134</v>
      </c>
      <c r="D124" s="83" t="s">
        <v>428</v>
      </c>
      <c r="E124" s="37" t="s">
        <v>24</v>
      </c>
      <c r="F124" s="95" t="s">
        <v>785</v>
      </c>
      <c r="G124" s="95" t="s">
        <v>785</v>
      </c>
      <c r="H124" s="96" t="s">
        <v>764</v>
      </c>
      <c r="I124" s="96" t="s">
        <v>786</v>
      </c>
      <c r="J124" s="96" t="s">
        <v>764</v>
      </c>
      <c r="K124" s="96" t="s">
        <v>764</v>
      </c>
      <c r="L124" s="17" t="s">
        <v>288</v>
      </c>
      <c r="M124" s="38" t="s">
        <v>1430</v>
      </c>
      <c r="N124" s="38" t="s">
        <v>1430</v>
      </c>
      <c r="O124" s="38" t="s">
        <v>1430</v>
      </c>
      <c r="P124" s="38" t="s">
        <v>1430</v>
      </c>
      <c r="Q124" s="38" t="s">
        <v>1430</v>
      </c>
      <c r="R124" s="38" t="s">
        <v>1430</v>
      </c>
      <c r="S124" s="38" t="s">
        <v>1430</v>
      </c>
      <c r="T124" s="38" t="s">
        <v>1430</v>
      </c>
      <c r="U124" s="1" t="s">
        <v>1211</v>
      </c>
      <c r="V124" s="6" t="s">
        <v>1548</v>
      </c>
      <c r="W124" s="18" t="str">
        <f t="shared" si="3"/>
        <v xml:space="preserve">['A31', 'A31', 'GUIA EXTERIOR SHOWER DOOR', 'Pza.', 0.1, 0.1, 0.12, 0.11, 0.12, 0.12, 'Indalum - cbba -  -  - santa puej -  - ', 0.00, 0.00, 0.00, 0.00, 0.00, 0.00, 0.00, 0.00], </v>
      </c>
      <c r="X124" s="18"/>
      <c r="AB124" s="1" t="str">
        <f t="shared" si="2"/>
        <v>['A31', 'A31', 'GUIA EXTERIOR SHOWER DOOR', 0, 'Pza.'],</v>
      </c>
    </row>
    <row r="125" spans="1:28" s="1" customFormat="1" ht="28.8" x14ac:dyDescent="0.3">
      <c r="A125" s="73">
        <v>119</v>
      </c>
      <c r="B125" s="11" t="s">
        <v>135</v>
      </c>
      <c r="C125" s="11" t="s">
        <v>135</v>
      </c>
      <c r="D125" s="83" t="s">
        <v>429</v>
      </c>
      <c r="E125" s="37" t="s">
        <v>24</v>
      </c>
      <c r="F125" s="95" t="s">
        <v>785</v>
      </c>
      <c r="G125" s="95" t="s">
        <v>785</v>
      </c>
      <c r="H125" s="96" t="s">
        <v>764</v>
      </c>
      <c r="I125" s="96" t="s">
        <v>786</v>
      </c>
      <c r="J125" s="96" t="s">
        <v>764</v>
      </c>
      <c r="K125" s="96" t="s">
        <v>764</v>
      </c>
      <c r="L125" s="17" t="s">
        <v>288</v>
      </c>
      <c r="M125" s="38" t="s">
        <v>1430</v>
      </c>
      <c r="N125" s="38" t="s">
        <v>1430</v>
      </c>
      <c r="O125" s="38" t="s">
        <v>1430</v>
      </c>
      <c r="P125" s="38" t="s">
        <v>1430</v>
      </c>
      <c r="Q125" s="38" t="s">
        <v>1430</v>
      </c>
      <c r="R125" s="38" t="s">
        <v>1430</v>
      </c>
      <c r="S125" s="38" t="s">
        <v>1430</v>
      </c>
      <c r="T125" s="38" t="s">
        <v>1430</v>
      </c>
      <c r="U125" s="1" t="s">
        <v>1212</v>
      </c>
      <c r="V125" s="6" t="s">
        <v>1549</v>
      </c>
      <c r="W125" s="18" t="str">
        <f t="shared" si="3"/>
        <v xml:space="preserve">['A32', 'A32', 'GUIA SERIE 50', 'Pza.', 0.1, 0.1, 0.12, 0.11, 0.12, 0.12, 'Indalum - cbba -  -  - santa puej -  - ', 0.00, 0.00, 0.00, 0.00, 0.00, 0.00, 0.00, 0.00], </v>
      </c>
      <c r="X125" s="18"/>
      <c r="AB125" s="1" t="str">
        <f t="shared" si="2"/>
        <v>['A32', 'A32', 'GUIA SERIE 50', 0, 'Pza.'],</v>
      </c>
    </row>
    <row r="126" spans="1:28" s="1" customFormat="1" ht="28.8" x14ac:dyDescent="0.3">
      <c r="A126" s="73">
        <v>120</v>
      </c>
      <c r="B126" s="11" t="s">
        <v>136</v>
      </c>
      <c r="C126" s="11" t="s">
        <v>136</v>
      </c>
      <c r="D126" s="83" t="s">
        <v>430</v>
      </c>
      <c r="E126" s="37" t="s">
        <v>24</v>
      </c>
      <c r="F126" s="95" t="s">
        <v>785</v>
      </c>
      <c r="G126" s="95" t="s">
        <v>785</v>
      </c>
      <c r="H126" s="96" t="s">
        <v>764</v>
      </c>
      <c r="I126" s="96" t="s">
        <v>786</v>
      </c>
      <c r="J126" s="96" t="s">
        <v>764</v>
      </c>
      <c r="K126" s="96" t="s">
        <v>764</v>
      </c>
      <c r="L126" s="17" t="s">
        <v>288</v>
      </c>
      <c r="M126" s="38" t="s">
        <v>1430</v>
      </c>
      <c r="N126" s="38" t="s">
        <v>1430</v>
      </c>
      <c r="O126" s="38" t="s">
        <v>1430</v>
      </c>
      <c r="P126" s="38" t="s">
        <v>1430</v>
      </c>
      <c r="Q126" s="38" t="s">
        <v>1430</v>
      </c>
      <c r="R126" s="38" t="s">
        <v>1430</v>
      </c>
      <c r="S126" s="38" t="s">
        <v>1430</v>
      </c>
      <c r="T126" s="38" t="s">
        <v>1430</v>
      </c>
      <c r="U126" s="1" t="s">
        <v>1213</v>
      </c>
      <c r="V126" s="6" t="s">
        <v>1550</v>
      </c>
      <c r="W126" s="18" t="str">
        <f t="shared" si="3"/>
        <v xml:space="preserve">['A33', 'A33', 'GUIA SERIE 20', 'Pza.', 0.1, 0.1, 0.12, 0.11, 0.12, 0.12, 'Indalum - cbba -  -  - santa puej -  - ', 0.00, 0.00, 0.00, 0.00, 0.00, 0.00, 0.00, 0.00], </v>
      </c>
      <c r="X126" s="18"/>
      <c r="AB126" s="1" t="str">
        <f t="shared" si="2"/>
        <v>['A33', 'A33', 'GUIA SERIE 20', 0, 'Pza.'],</v>
      </c>
    </row>
    <row r="127" spans="1:28" s="1" customFormat="1" ht="28.8" x14ac:dyDescent="0.3">
      <c r="A127" s="73">
        <v>121</v>
      </c>
      <c r="B127" s="11" t="s">
        <v>137</v>
      </c>
      <c r="C127" s="11" t="s">
        <v>137</v>
      </c>
      <c r="D127" s="83" t="s">
        <v>431</v>
      </c>
      <c r="E127" s="37" t="s">
        <v>24</v>
      </c>
      <c r="F127" s="95" t="s">
        <v>785</v>
      </c>
      <c r="G127" s="95" t="s">
        <v>785</v>
      </c>
      <c r="H127" s="96" t="s">
        <v>764</v>
      </c>
      <c r="I127" s="96" t="s">
        <v>786</v>
      </c>
      <c r="J127" s="96" t="s">
        <v>764</v>
      </c>
      <c r="K127" s="96" t="s">
        <v>764</v>
      </c>
      <c r="L127" s="17" t="s">
        <v>288</v>
      </c>
      <c r="M127" s="38" t="s">
        <v>1430</v>
      </c>
      <c r="N127" s="38" t="s">
        <v>1430</v>
      </c>
      <c r="O127" s="38" t="s">
        <v>1430</v>
      </c>
      <c r="P127" s="38" t="s">
        <v>1430</v>
      </c>
      <c r="Q127" s="38" t="s">
        <v>1430</v>
      </c>
      <c r="R127" s="38" t="s">
        <v>1430</v>
      </c>
      <c r="S127" s="38" t="s">
        <v>1430</v>
      </c>
      <c r="T127" s="38" t="s">
        <v>1430</v>
      </c>
      <c r="U127" s="1" t="s">
        <v>1214</v>
      </c>
      <c r="V127" s="6" t="s">
        <v>1551</v>
      </c>
      <c r="W127" s="18" t="str">
        <f t="shared" si="3"/>
        <v xml:space="preserve">['A34', 'A34', 'GUIA SERIE 25', 'Pza.', 0.1, 0.1, 0.12, 0.11, 0.12, 0.12, 'Indalum - cbba -  -  - santa puej -  - ', 0.00, 0.00, 0.00, 0.00, 0.00, 0.00, 0.00, 0.00], </v>
      </c>
      <c r="X127" s="18"/>
      <c r="AB127" s="1" t="str">
        <f t="shared" si="2"/>
        <v>['A34', 'A34', 'GUIA SERIE 25', 0, 'Pza.'],</v>
      </c>
    </row>
    <row r="128" spans="1:28" s="1" customFormat="1" ht="28.8" x14ac:dyDescent="0.3">
      <c r="A128" s="73">
        <v>122</v>
      </c>
      <c r="B128" s="11" t="s">
        <v>138</v>
      </c>
      <c r="C128" s="11" t="s">
        <v>138</v>
      </c>
      <c r="D128" s="83" t="s">
        <v>432</v>
      </c>
      <c r="E128" s="37" t="s">
        <v>139</v>
      </c>
      <c r="F128" s="95" t="s">
        <v>787</v>
      </c>
      <c r="G128" s="95">
        <v>13</v>
      </c>
      <c r="H128" s="96" t="s">
        <v>788</v>
      </c>
      <c r="I128" s="96" t="s">
        <v>789</v>
      </c>
      <c r="J128" s="96" t="s">
        <v>790</v>
      </c>
      <c r="K128" s="96" t="s">
        <v>1059</v>
      </c>
      <c r="L128" s="17" t="s">
        <v>240</v>
      </c>
      <c r="M128" s="38" t="s">
        <v>1430</v>
      </c>
      <c r="N128" s="38" t="s">
        <v>1430</v>
      </c>
      <c r="O128" s="38" t="s">
        <v>1430</v>
      </c>
      <c r="P128" s="38" t="s">
        <v>1430</v>
      </c>
      <c r="Q128" s="38" t="s">
        <v>1430</v>
      </c>
      <c r="R128" s="38" t="s">
        <v>1430</v>
      </c>
      <c r="S128" s="38" t="s">
        <v>1430</v>
      </c>
      <c r="T128" s="38" t="s">
        <v>1430</v>
      </c>
      <c r="U128" s="1" t="s">
        <v>1215</v>
      </c>
      <c r="V128" s="6" t="s">
        <v>1552</v>
      </c>
      <c r="W128" s="18" t="str">
        <f t="shared" si="3"/>
        <v xml:space="preserve">['A35', 'A35', 'CELOSIAS 2 ALETAS - 320 MM.', 'Par', 13.39, 13, 15.26, 14.3, 15.95, 14.95, 'Florencio Rivero - cbba -  -  - santa puej -  - ', 0.00, 0.00, 0.00, 0.00, 0.00, 0.00, 0.00, 0.00], </v>
      </c>
      <c r="X128" s="18"/>
      <c r="AB128" s="1" t="str">
        <f t="shared" si="2"/>
        <v>['A35', 'A35', 'CELOSIAS 2 ALETAS - 320 MM.', 0, 'Par'],</v>
      </c>
    </row>
    <row r="129" spans="1:28" s="1" customFormat="1" ht="28.8" x14ac:dyDescent="0.3">
      <c r="A129" s="73">
        <v>123</v>
      </c>
      <c r="B129" s="11" t="s">
        <v>140</v>
      </c>
      <c r="C129" s="11" t="s">
        <v>140</v>
      </c>
      <c r="D129" s="83" t="s">
        <v>433</v>
      </c>
      <c r="E129" s="37" t="s">
        <v>139</v>
      </c>
      <c r="F129" s="95" t="s">
        <v>792</v>
      </c>
      <c r="G129" s="95">
        <v>17</v>
      </c>
      <c r="H129" s="96" t="s">
        <v>793</v>
      </c>
      <c r="I129" s="96" t="s">
        <v>794</v>
      </c>
      <c r="J129" s="96" t="s">
        <v>795</v>
      </c>
      <c r="K129" s="96" t="s">
        <v>1060</v>
      </c>
      <c r="L129" s="17" t="s">
        <v>240</v>
      </c>
      <c r="M129" s="38" t="s">
        <v>1430</v>
      </c>
      <c r="N129" s="38" t="s">
        <v>1430</v>
      </c>
      <c r="O129" s="38" t="s">
        <v>1430</v>
      </c>
      <c r="P129" s="38" t="s">
        <v>1430</v>
      </c>
      <c r="Q129" s="38" t="s">
        <v>1430</v>
      </c>
      <c r="R129" s="38" t="s">
        <v>1430</v>
      </c>
      <c r="S129" s="38" t="s">
        <v>1430</v>
      </c>
      <c r="T129" s="38" t="s">
        <v>1430</v>
      </c>
      <c r="U129" s="1" t="s">
        <v>1216</v>
      </c>
      <c r="V129" s="6" t="s">
        <v>1553</v>
      </c>
      <c r="W129" s="18" t="str">
        <f t="shared" si="3"/>
        <v xml:space="preserve">['A36', 'A36', 'CELOSIAS 3 ALETAS - 460 MM.', 'Par', 17.51, 17, 19.95, 18.7, 20.86, 19.55, 'Florencio Rivero - cbba -  -  - santa puej -  - ', 0.00, 0.00, 0.00, 0.00, 0.00, 0.00, 0.00, 0.00], </v>
      </c>
      <c r="X129" s="18"/>
      <c r="AB129" s="1" t="str">
        <f t="shared" ref="AB129:AB208" si="5">CONCATENATE("['",B129,"', '",C129,"', '",D129,"', ",0,", '",E129,"'],")</f>
        <v>['A36', 'A36', 'CELOSIAS 3 ALETAS - 460 MM.', 0, 'Par'],</v>
      </c>
    </row>
    <row r="130" spans="1:28" s="1" customFormat="1" ht="28.8" x14ac:dyDescent="0.3">
      <c r="A130" s="73">
        <v>124</v>
      </c>
      <c r="B130" s="11" t="s">
        <v>141</v>
      </c>
      <c r="C130" s="11" t="s">
        <v>141</v>
      </c>
      <c r="D130" s="83" t="s">
        <v>434</v>
      </c>
      <c r="E130" s="37" t="s">
        <v>139</v>
      </c>
      <c r="F130" s="95" t="s">
        <v>796</v>
      </c>
      <c r="G130" s="95">
        <v>19</v>
      </c>
      <c r="H130" s="96" t="s">
        <v>797</v>
      </c>
      <c r="I130" s="96" t="s">
        <v>798</v>
      </c>
      <c r="J130" s="96" t="s">
        <v>799</v>
      </c>
      <c r="K130" s="96" t="s">
        <v>1061</v>
      </c>
      <c r="L130" s="17" t="s">
        <v>240</v>
      </c>
      <c r="M130" s="38" t="s">
        <v>1430</v>
      </c>
      <c r="N130" s="38" t="s">
        <v>1430</v>
      </c>
      <c r="O130" s="38" t="s">
        <v>1430</v>
      </c>
      <c r="P130" s="38" t="s">
        <v>1430</v>
      </c>
      <c r="Q130" s="38" t="s">
        <v>1430</v>
      </c>
      <c r="R130" s="38" t="s">
        <v>1430</v>
      </c>
      <c r="S130" s="38" t="s">
        <v>1430</v>
      </c>
      <c r="T130" s="38" t="s">
        <v>1430</v>
      </c>
      <c r="U130" s="1" t="s">
        <v>1217</v>
      </c>
      <c r="V130" s="6" t="s">
        <v>1554</v>
      </c>
      <c r="W130" s="18" t="str">
        <f t="shared" si="3"/>
        <v xml:space="preserve">['A37', 'A37', 'CELOSIAS 4 ALETAS - 600 MM.', 'Par', 19.57, 19, 22.3, 20.9, 23.31, 21.85, 'Florencio Rivero - cbba -  -  - santa puej -  - ', 0.00, 0.00, 0.00, 0.00, 0.00, 0.00, 0.00, 0.00], </v>
      </c>
      <c r="X130" s="18"/>
      <c r="AB130" s="1" t="str">
        <f t="shared" si="5"/>
        <v>['A37', 'A37', 'CELOSIAS 4 ALETAS - 600 MM.', 0, 'Par'],</v>
      </c>
    </row>
    <row r="131" spans="1:28" s="1" customFormat="1" ht="28.8" x14ac:dyDescent="0.3">
      <c r="A131" s="73">
        <v>125</v>
      </c>
      <c r="B131" s="11" t="s">
        <v>142</v>
      </c>
      <c r="C131" s="11" t="s">
        <v>142</v>
      </c>
      <c r="D131" s="83" t="s">
        <v>435</v>
      </c>
      <c r="E131" s="37" t="s">
        <v>139</v>
      </c>
      <c r="F131" s="95" t="s">
        <v>730</v>
      </c>
      <c r="G131" s="95">
        <v>24</v>
      </c>
      <c r="H131" s="96" t="s">
        <v>800</v>
      </c>
      <c r="I131" s="96" t="s">
        <v>550</v>
      </c>
      <c r="J131" s="96" t="s">
        <v>801</v>
      </c>
      <c r="K131" s="96" t="s">
        <v>739</v>
      </c>
      <c r="L131" s="17" t="s">
        <v>240</v>
      </c>
      <c r="M131" s="38" t="s">
        <v>1430</v>
      </c>
      <c r="N131" s="38" t="s">
        <v>1430</v>
      </c>
      <c r="O131" s="38" t="s">
        <v>1430</v>
      </c>
      <c r="P131" s="38" t="s">
        <v>1430</v>
      </c>
      <c r="Q131" s="38" t="s">
        <v>1430</v>
      </c>
      <c r="R131" s="38" t="s">
        <v>1430</v>
      </c>
      <c r="S131" s="38" t="s">
        <v>1430</v>
      </c>
      <c r="T131" s="38" t="s">
        <v>1430</v>
      </c>
      <c r="U131" s="1" t="s">
        <v>1218</v>
      </c>
      <c r="V131" s="6" t="s">
        <v>1555</v>
      </c>
      <c r="W131" s="18" t="str">
        <f t="shared" si="3"/>
        <v xml:space="preserve">['A38', 'A38', 'CELOSIAS 5 ALETAS - 740MM.', 'Par', 24.72, 24, 28.17, 26.4, 29.45, 27.6, 'Florencio Rivero - cbba -  -  - santa puej -  - ', 0.00, 0.00, 0.00, 0.00, 0.00, 0.00, 0.00, 0.00], </v>
      </c>
      <c r="X131" s="18"/>
      <c r="AB131" s="1" t="str">
        <f t="shared" si="5"/>
        <v>['A38', 'A38', 'CELOSIAS 5 ALETAS - 740MM.', 0, 'Par'],</v>
      </c>
    </row>
    <row r="132" spans="1:28" s="1" customFormat="1" ht="28.8" x14ac:dyDescent="0.3">
      <c r="A132" s="73">
        <v>126</v>
      </c>
      <c r="B132" s="11" t="s">
        <v>143</v>
      </c>
      <c r="C132" s="11" t="s">
        <v>143</v>
      </c>
      <c r="D132" s="83" t="s">
        <v>436</v>
      </c>
      <c r="E132" s="37" t="s">
        <v>139</v>
      </c>
      <c r="F132" s="95" t="s">
        <v>802</v>
      </c>
      <c r="G132" s="95">
        <v>26</v>
      </c>
      <c r="H132" s="96" t="s">
        <v>803</v>
      </c>
      <c r="I132" s="96" t="s">
        <v>804</v>
      </c>
      <c r="J132" s="96" t="s">
        <v>805</v>
      </c>
      <c r="K132" s="96" t="s">
        <v>1062</v>
      </c>
      <c r="L132" s="17" t="s">
        <v>240</v>
      </c>
      <c r="M132" s="38" t="s">
        <v>1430</v>
      </c>
      <c r="N132" s="38" t="s">
        <v>1430</v>
      </c>
      <c r="O132" s="38" t="s">
        <v>1430</v>
      </c>
      <c r="P132" s="38" t="s">
        <v>1430</v>
      </c>
      <c r="Q132" s="38" t="s">
        <v>1430</v>
      </c>
      <c r="R132" s="38" t="s">
        <v>1430</v>
      </c>
      <c r="S132" s="38" t="s">
        <v>1430</v>
      </c>
      <c r="T132" s="38" t="s">
        <v>1430</v>
      </c>
      <c r="U132" s="1" t="s">
        <v>1219</v>
      </c>
      <c r="V132" s="6" t="s">
        <v>1556</v>
      </c>
      <c r="W132" s="18" t="str">
        <f t="shared" si="3"/>
        <v xml:space="preserve">['A39', 'A39', 'CELOSIAS 6 ALETAS - 880 MM.', 'Par', 26.78, 26, 30.52, 28.6, 31.9, 29.9, 'Florencio Rivero - cbba -  -  - santa puej -  - ', 0.00, 0.00, 0.00, 0.00, 0.00, 0.00, 0.00, 0.00], </v>
      </c>
      <c r="X132" s="18"/>
      <c r="AB132" s="1" t="str">
        <f t="shared" si="5"/>
        <v>['A39', 'A39', 'CELOSIAS 6 ALETAS - 880 MM.', 0, 'Par'],</v>
      </c>
    </row>
    <row r="133" spans="1:28" s="1" customFormat="1" ht="28.8" x14ac:dyDescent="0.3">
      <c r="A133" s="73">
        <v>127</v>
      </c>
      <c r="B133" s="11" t="s">
        <v>144</v>
      </c>
      <c r="C133" s="11" t="s">
        <v>144</v>
      </c>
      <c r="D133" s="83" t="s">
        <v>437</v>
      </c>
      <c r="E133" s="37" t="s">
        <v>139</v>
      </c>
      <c r="F133" s="95" t="s">
        <v>806</v>
      </c>
      <c r="G133" s="95">
        <v>33</v>
      </c>
      <c r="H133" s="96" t="s">
        <v>807</v>
      </c>
      <c r="I133" s="96" t="s">
        <v>744</v>
      </c>
      <c r="J133" s="96" t="s">
        <v>808</v>
      </c>
      <c r="K133" s="96" t="s">
        <v>1052</v>
      </c>
      <c r="L133" s="17" t="s">
        <v>240</v>
      </c>
      <c r="M133" s="38" t="s">
        <v>1430</v>
      </c>
      <c r="N133" s="38" t="s">
        <v>1430</v>
      </c>
      <c r="O133" s="38" t="s">
        <v>1430</v>
      </c>
      <c r="P133" s="38" t="s">
        <v>1430</v>
      </c>
      <c r="Q133" s="38" t="s">
        <v>1430</v>
      </c>
      <c r="R133" s="38" t="s">
        <v>1430</v>
      </c>
      <c r="S133" s="38" t="s">
        <v>1430</v>
      </c>
      <c r="T133" s="38" t="s">
        <v>1430</v>
      </c>
      <c r="U133" s="1" t="s">
        <v>1220</v>
      </c>
      <c r="V133" s="6" t="s">
        <v>1557</v>
      </c>
      <c r="W133" s="18" t="str">
        <f t="shared" si="3"/>
        <v xml:space="preserve">['A40', 'A40', 'CELOSIAS 7 ALETAS - 1000 MM.', 'Par', 33.99, 33, 38.73, 36.3, 40.49, 37.95, 'Florencio Rivero - cbba -  -  - santa puej -  - ', 0.00, 0.00, 0.00, 0.00, 0.00, 0.00, 0.00, 0.00], </v>
      </c>
      <c r="X133" s="18"/>
      <c r="AB133" s="1" t="str">
        <f t="shared" si="5"/>
        <v>['A40', 'A40', 'CELOSIAS 7 ALETAS - 1000 MM.', 0, 'Par'],</v>
      </c>
    </row>
    <row r="134" spans="1:28" s="1" customFormat="1" ht="28.8" x14ac:dyDescent="0.3">
      <c r="A134" s="73">
        <v>128</v>
      </c>
      <c r="B134" s="11" t="s">
        <v>145</v>
      </c>
      <c r="C134" s="11" t="s">
        <v>145</v>
      </c>
      <c r="D134" s="83" t="s">
        <v>438</v>
      </c>
      <c r="E134" s="37" t="s">
        <v>139</v>
      </c>
      <c r="F134" s="95" t="s">
        <v>809</v>
      </c>
      <c r="G134" s="95">
        <v>37</v>
      </c>
      <c r="H134" s="96" t="s">
        <v>810</v>
      </c>
      <c r="I134" s="96" t="s">
        <v>811</v>
      </c>
      <c r="J134" s="96" t="s">
        <v>812</v>
      </c>
      <c r="K134" s="96" t="s">
        <v>751</v>
      </c>
      <c r="L134" s="17" t="s">
        <v>240</v>
      </c>
      <c r="M134" s="38" t="s">
        <v>1430</v>
      </c>
      <c r="N134" s="38" t="s">
        <v>1430</v>
      </c>
      <c r="O134" s="38" t="s">
        <v>1430</v>
      </c>
      <c r="P134" s="38" t="s">
        <v>1430</v>
      </c>
      <c r="Q134" s="38" t="s">
        <v>1430</v>
      </c>
      <c r="R134" s="38" t="s">
        <v>1430</v>
      </c>
      <c r="S134" s="38" t="s">
        <v>1430</v>
      </c>
      <c r="T134" s="38" t="s">
        <v>1430</v>
      </c>
      <c r="U134" s="1" t="s">
        <v>1221</v>
      </c>
      <c r="V134" s="6" t="s">
        <v>1558</v>
      </c>
      <c r="W134" s="18" t="str">
        <f t="shared" si="3"/>
        <v xml:space="preserve">['A41', 'A41', 'CELOSIAS 8 ALETAS - 1160 MM.', 'Par', 38.11, 37, 43.42, 40.7, 45.4, 42.55, 'Florencio Rivero - cbba -  -  - santa puej -  - ', 0.00, 0.00, 0.00, 0.00, 0.00, 0.00, 0.00, 0.00], </v>
      </c>
      <c r="X134" s="18"/>
      <c r="AB134" s="1" t="str">
        <f t="shared" si="5"/>
        <v>['A41', 'A41', 'CELOSIAS 8 ALETAS - 1160 MM.', 0, 'Par'],</v>
      </c>
    </row>
    <row r="135" spans="1:28" s="1" customFormat="1" ht="28.8" x14ac:dyDescent="0.3">
      <c r="A135" s="73">
        <v>129</v>
      </c>
      <c r="B135" s="11" t="s">
        <v>146</v>
      </c>
      <c r="C135" s="11" t="s">
        <v>146</v>
      </c>
      <c r="D135" s="83" t="s">
        <v>439</v>
      </c>
      <c r="E135" s="37" t="s">
        <v>139</v>
      </c>
      <c r="F135" s="95" t="s">
        <v>813</v>
      </c>
      <c r="G135" s="95">
        <v>45</v>
      </c>
      <c r="H135" s="96" t="s">
        <v>814</v>
      </c>
      <c r="I135" s="96" t="s">
        <v>746</v>
      </c>
      <c r="J135" s="96" t="s">
        <v>815</v>
      </c>
      <c r="K135" s="96" t="s">
        <v>1063</v>
      </c>
      <c r="L135" s="17" t="s">
        <v>240</v>
      </c>
      <c r="M135" s="38" t="s">
        <v>1430</v>
      </c>
      <c r="N135" s="38" t="s">
        <v>1430</v>
      </c>
      <c r="O135" s="38" t="s">
        <v>1430</v>
      </c>
      <c r="P135" s="38" t="s">
        <v>1430</v>
      </c>
      <c r="Q135" s="38" t="s">
        <v>1430</v>
      </c>
      <c r="R135" s="38" t="s">
        <v>1430</v>
      </c>
      <c r="S135" s="38" t="s">
        <v>1430</v>
      </c>
      <c r="T135" s="38" t="s">
        <v>1430</v>
      </c>
      <c r="U135" s="1" t="s">
        <v>1222</v>
      </c>
      <c r="V135" s="6" t="s">
        <v>1559</v>
      </c>
      <c r="W135" s="18" t="str">
        <f t="shared" si="3"/>
        <v xml:space="preserve">['A42', 'A42', 'CELOSIAS 9 ALETAS - 1300 MM.', 'Par', 46.35, 45, 52.81, 49.5, 55.21, 51.75, 'Florencio Rivero - cbba -  -  - santa puej -  - ', 0.00, 0.00, 0.00, 0.00, 0.00, 0.00, 0.00, 0.00], </v>
      </c>
      <c r="X135" s="18"/>
      <c r="AB135" s="1" t="str">
        <f t="shared" si="5"/>
        <v>['A42', 'A42', 'CELOSIAS 9 ALETAS - 1300 MM.', 0, 'Par'],</v>
      </c>
    </row>
    <row r="136" spans="1:28" s="1" customFormat="1" ht="28.8" x14ac:dyDescent="0.3">
      <c r="A136" s="73">
        <v>130</v>
      </c>
      <c r="B136" s="11" t="s">
        <v>147</v>
      </c>
      <c r="C136" s="11" t="s">
        <v>147</v>
      </c>
      <c r="D136" s="83" t="s">
        <v>440</v>
      </c>
      <c r="E136" s="37" t="s">
        <v>24</v>
      </c>
      <c r="F136" s="95" t="s">
        <v>772</v>
      </c>
      <c r="G136" s="95" t="s">
        <v>772</v>
      </c>
      <c r="H136" s="96" t="s">
        <v>816</v>
      </c>
      <c r="I136" s="96" t="s">
        <v>817</v>
      </c>
      <c r="J136" s="96" t="s">
        <v>678</v>
      </c>
      <c r="K136" s="96" t="s">
        <v>1064</v>
      </c>
      <c r="L136" s="17" t="s">
        <v>288</v>
      </c>
      <c r="M136" s="38" t="s">
        <v>1430</v>
      </c>
      <c r="N136" s="38" t="s">
        <v>1430</v>
      </c>
      <c r="O136" s="38" t="s">
        <v>1430</v>
      </c>
      <c r="P136" s="38" t="s">
        <v>1430</v>
      </c>
      <c r="Q136" s="38" t="s">
        <v>1430</v>
      </c>
      <c r="R136" s="38" t="s">
        <v>1430</v>
      </c>
      <c r="S136" s="38" t="s">
        <v>1430</v>
      </c>
      <c r="T136" s="38" t="s">
        <v>1430</v>
      </c>
      <c r="U136" s="1" t="s">
        <v>1223</v>
      </c>
      <c r="V136" s="6" t="s">
        <v>1560</v>
      </c>
      <c r="W136" s="18" t="str">
        <f t="shared" ref="W136:W199" si="6">CONCATENATE("['",B136,"', '",C136,"', '",D136,"', '",E136,"', ",F136,", ",G136,", ",H136,", ",I136,", ",J136,", ",K136,", '",L136,"', ",M136,", ",N136,", ",O136,", ",P136,", ",Q136,", ",R136,", ",S136,", ",T136,"], ")</f>
        <v xml:space="preserve">['A43', 'A43', 'BISAGRA SERIE 32 Y 42', 'Pza.', 1.8, 1.8, 2.06, 1.98, 2.15, 2.07, 'Indalum - cbba -  -  - santa puej -  - ', 0.00, 0.00, 0.00, 0.00, 0.00, 0.00, 0.00, 0.00], </v>
      </c>
      <c r="X136" s="18"/>
      <c r="AB136" s="1" t="str">
        <f t="shared" si="5"/>
        <v>['A43', 'A43', 'BISAGRA SERIE 32 Y 42', 0, 'Pza.'],</v>
      </c>
    </row>
    <row r="137" spans="1:28" s="1" customFormat="1" ht="28.8" x14ac:dyDescent="0.3">
      <c r="A137" s="73">
        <v>131</v>
      </c>
      <c r="B137" s="11" t="s">
        <v>148</v>
      </c>
      <c r="C137" s="11" t="s">
        <v>148</v>
      </c>
      <c r="D137" s="83" t="s">
        <v>441</v>
      </c>
      <c r="E137" s="37" t="s">
        <v>24</v>
      </c>
      <c r="F137" s="95" t="s">
        <v>818</v>
      </c>
      <c r="G137" s="95" t="s">
        <v>818</v>
      </c>
      <c r="H137" s="96" t="s">
        <v>638</v>
      </c>
      <c r="I137" s="96" t="s">
        <v>819</v>
      </c>
      <c r="J137" s="96" t="s">
        <v>820</v>
      </c>
      <c r="K137" s="96" t="s">
        <v>609</v>
      </c>
      <c r="L137" s="17" t="s">
        <v>288</v>
      </c>
      <c r="M137" s="38" t="s">
        <v>1430</v>
      </c>
      <c r="N137" s="38" t="s">
        <v>1430</v>
      </c>
      <c r="O137" s="38" t="s">
        <v>1430</v>
      </c>
      <c r="P137" s="38" t="s">
        <v>1430</v>
      </c>
      <c r="Q137" s="38" t="s">
        <v>1430</v>
      </c>
      <c r="R137" s="38" t="s">
        <v>1430</v>
      </c>
      <c r="S137" s="38" t="s">
        <v>1430</v>
      </c>
      <c r="T137" s="38" t="s">
        <v>1430</v>
      </c>
      <c r="U137" s="1" t="s">
        <v>1224</v>
      </c>
      <c r="V137" s="6" t="s">
        <v>1561</v>
      </c>
      <c r="W137" s="18" t="str">
        <f t="shared" si="6"/>
        <v xml:space="preserve">['A44', 'A44', 'BISAGRA SERIE 35', 'Pza.', 1.5, 1.5, 1.71, 1.65, 1.79, 1.73, 'Indalum - cbba -  -  - santa puej -  - ', 0.00, 0.00, 0.00, 0.00, 0.00, 0.00, 0.00, 0.00], </v>
      </c>
      <c r="X137" s="18"/>
      <c r="AB137" s="1" t="str">
        <f t="shared" si="5"/>
        <v>['A44', 'A44', 'BISAGRA SERIE 35', 0, 'Pza.'],</v>
      </c>
    </row>
    <row r="138" spans="1:28" s="1" customFormat="1" ht="28.8" x14ac:dyDescent="0.3">
      <c r="A138" s="73">
        <v>132</v>
      </c>
      <c r="B138" s="11" t="s">
        <v>149</v>
      </c>
      <c r="C138" s="11" t="s">
        <v>149</v>
      </c>
      <c r="D138" s="83" t="s">
        <v>442</v>
      </c>
      <c r="E138" s="37" t="s">
        <v>24</v>
      </c>
      <c r="F138" s="95" t="s">
        <v>822</v>
      </c>
      <c r="G138" s="95" t="s">
        <v>822</v>
      </c>
      <c r="H138" s="96" t="s">
        <v>823</v>
      </c>
      <c r="I138" s="96" t="s">
        <v>824</v>
      </c>
      <c r="J138" s="96" t="s">
        <v>825</v>
      </c>
      <c r="K138" s="96" t="s">
        <v>1065</v>
      </c>
      <c r="L138" s="17" t="s">
        <v>288</v>
      </c>
      <c r="M138" s="38" t="s">
        <v>1430</v>
      </c>
      <c r="N138" s="38" t="s">
        <v>1430</v>
      </c>
      <c r="O138" s="38" t="s">
        <v>1430</v>
      </c>
      <c r="P138" s="38" t="s">
        <v>1430</v>
      </c>
      <c r="Q138" s="38" t="s">
        <v>1430</v>
      </c>
      <c r="R138" s="38" t="s">
        <v>1430</v>
      </c>
      <c r="S138" s="38" t="s">
        <v>1430</v>
      </c>
      <c r="T138" s="38" t="s">
        <v>1430</v>
      </c>
      <c r="U138" s="1" t="s">
        <v>1225</v>
      </c>
      <c r="V138" s="6" t="s">
        <v>1562</v>
      </c>
      <c r="W138" s="18" t="str">
        <f t="shared" si="6"/>
        <v xml:space="preserve">['A45', 'A45', 'BISAGRA SERIE 45', 'Pza.', 2.5, 2.5, 2.85, 2.75, 2.98, 2.88, 'Indalum - cbba -  -  - santa puej -  - ', 0.00, 0.00, 0.00, 0.00, 0.00, 0.00, 0.00, 0.00], </v>
      </c>
      <c r="X138" s="18"/>
      <c r="AB138" s="1" t="str">
        <f t="shared" si="5"/>
        <v>['A45', 'A45', 'BISAGRA SERIE 45', 0, 'Pza.'],</v>
      </c>
    </row>
    <row r="139" spans="1:28" s="1" customFormat="1" ht="28.8" x14ac:dyDescent="0.3">
      <c r="A139" s="73">
        <v>133</v>
      </c>
      <c r="B139" s="11" t="s">
        <v>150</v>
      </c>
      <c r="C139" s="11" t="s">
        <v>150</v>
      </c>
      <c r="D139" s="83" t="s">
        <v>443</v>
      </c>
      <c r="E139" s="37" t="s">
        <v>139</v>
      </c>
      <c r="F139" s="95" t="s">
        <v>827</v>
      </c>
      <c r="G139" s="95" t="s">
        <v>827</v>
      </c>
      <c r="H139" s="96" t="s">
        <v>828</v>
      </c>
      <c r="I139" s="96" t="s">
        <v>829</v>
      </c>
      <c r="J139" s="96" t="s">
        <v>830</v>
      </c>
      <c r="K139" s="96" t="s">
        <v>1066</v>
      </c>
      <c r="L139" s="17" t="s">
        <v>288</v>
      </c>
      <c r="M139" s="38" t="s">
        <v>1430</v>
      </c>
      <c r="N139" s="38" t="s">
        <v>1430</v>
      </c>
      <c r="O139" s="38" t="s">
        <v>1430</v>
      </c>
      <c r="P139" s="38" t="s">
        <v>1430</v>
      </c>
      <c r="Q139" s="38" t="s">
        <v>1430</v>
      </c>
      <c r="R139" s="38" t="s">
        <v>1430</v>
      </c>
      <c r="S139" s="38" t="s">
        <v>1430</v>
      </c>
      <c r="T139" s="38" t="s">
        <v>1430</v>
      </c>
      <c r="U139" s="1" t="s">
        <v>1226</v>
      </c>
      <c r="V139" s="6" t="s">
        <v>1563</v>
      </c>
      <c r="W139" s="18" t="str">
        <f t="shared" si="6"/>
        <v xml:space="preserve">['A46', 'A46', 'BRAZO DE APERTURA P/PROYECTANTE 300', 'Par', 9.8, 9.8, 11.17, 10.78, 11.68, 11.27, 'Indalum - cbba -  -  - santa puej -  - ', 0.00, 0.00, 0.00, 0.00, 0.00, 0.00, 0.00, 0.00], </v>
      </c>
      <c r="X139" s="18"/>
      <c r="AB139" s="1" t="str">
        <f t="shared" si="5"/>
        <v>['A46', 'A46', 'BRAZO DE APERTURA P/PROYECTANTE 300', 0, 'Par'],</v>
      </c>
    </row>
    <row r="140" spans="1:28" s="1" customFormat="1" ht="28.8" x14ac:dyDescent="0.3">
      <c r="A140" s="73">
        <v>134</v>
      </c>
      <c r="B140" s="11" t="s">
        <v>151</v>
      </c>
      <c r="C140" s="11" t="s">
        <v>151</v>
      </c>
      <c r="D140" s="83" t="s">
        <v>444</v>
      </c>
      <c r="E140" s="37" t="s">
        <v>139</v>
      </c>
      <c r="F140" s="95" t="s">
        <v>831</v>
      </c>
      <c r="G140" s="95" t="s">
        <v>831</v>
      </c>
      <c r="H140" s="96" t="s">
        <v>832</v>
      </c>
      <c r="I140" s="96" t="s">
        <v>833</v>
      </c>
      <c r="J140" s="96" t="s">
        <v>834</v>
      </c>
      <c r="K140" s="96" t="s">
        <v>1067</v>
      </c>
      <c r="L140" s="17" t="s">
        <v>288</v>
      </c>
      <c r="M140" s="38" t="s">
        <v>1430</v>
      </c>
      <c r="N140" s="38" t="s">
        <v>1430</v>
      </c>
      <c r="O140" s="38" t="s">
        <v>1430</v>
      </c>
      <c r="P140" s="38" t="s">
        <v>1430</v>
      </c>
      <c r="Q140" s="38" t="s">
        <v>1430</v>
      </c>
      <c r="R140" s="38" t="s">
        <v>1430</v>
      </c>
      <c r="S140" s="38" t="s">
        <v>1430</v>
      </c>
      <c r="T140" s="38" t="s">
        <v>1430</v>
      </c>
      <c r="U140" s="1" t="s">
        <v>1227</v>
      </c>
      <c r="V140" s="6" t="s">
        <v>1564</v>
      </c>
      <c r="W140" s="18" t="str">
        <f t="shared" si="6"/>
        <v xml:space="preserve">['A47', 'A47', 'BRAZO DE APERTURA P/PROYECTANTE 400', 'Par', 15.05, 15.05, 17.15, 16.56, 17.93, 17.31, 'Indalum - cbba -  -  - santa puej -  - ', 0.00, 0.00, 0.00, 0.00, 0.00, 0.00, 0.00, 0.00], </v>
      </c>
      <c r="X140" s="18"/>
      <c r="AB140" s="1" t="str">
        <f t="shared" si="5"/>
        <v>['A47', 'A47', 'BRAZO DE APERTURA P/PROYECTANTE 400', 0, 'Par'],</v>
      </c>
    </row>
    <row r="141" spans="1:28" s="1" customFormat="1" ht="28.8" x14ac:dyDescent="0.3">
      <c r="A141" s="73">
        <v>135</v>
      </c>
      <c r="B141" s="11" t="s">
        <v>152</v>
      </c>
      <c r="C141" s="11" t="s">
        <v>152</v>
      </c>
      <c r="D141" s="83" t="s">
        <v>445</v>
      </c>
      <c r="E141" s="37" t="s">
        <v>139</v>
      </c>
      <c r="F141" s="95" t="s">
        <v>835</v>
      </c>
      <c r="G141" s="95" t="s">
        <v>835</v>
      </c>
      <c r="H141" s="96" t="s">
        <v>836</v>
      </c>
      <c r="I141" s="96" t="s">
        <v>837</v>
      </c>
      <c r="J141" s="96" t="s">
        <v>838</v>
      </c>
      <c r="K141" s="96" t="s">
        <v>1068</v>
      </c>
      <c r="L141" s="17" t="s">
        <v>288</v>
      </c>
      <c r="M141" s="38" t="s">
        <v>1430</v>
      </c>
      <c r="N141" s="38" t="s">
        <v>1430</v>
      </c>
      <c r="O141" s="38" t="s">
        <v>1430</v>
      </c>
      <c r="P141" s="38" t="s">
        <v>1430</v>
      </c>
      <c r="Q141" s="38" t="s">
        <v>1430</v>
      </c>
      <c r="R141" s="38" t="s">
        <v>1430</v>
      </c>
      <c r="S141" s="38" t="s">
        <v>1430</v>
      </c>
      <c r="T141" s="38" t="s">
        <v>1430</v>
      </c>
      <c r="U141" s="1" t="s">
        <v>1228</v>
      </c>
      <c r="V141" s="6" t="s">
        <v>1565</v>
      </c>
      <c r="W141" s="18" t="str">
        <f t="shared" si="6"/>
        <v xml:space="preserve">['A48', 'A48', 'BRAZO DE APERTURA P/PROYECTANTE 500', 'Par', 18.5, 18.5, 21.08, 20.35, 22.04, 21.28, 'Indalum - cbba -  -  - santa puej -  - ', 0.00, 0.00, 0.00, 0.00, 0.00, 0.00, 0.00, 0.00], </v>
      </c>
      <c r="X141" s="18"/>
      <c r="AB141" s="1" t="str">
        <f t="shared" si="5"/>
        <v>['A48', 'A48', 'BRAZO DE APERTURA P/PROYECTANTE 500', 0, 'Par'],</v>
      </c>
    </row>
    <row r="142" spans="1:28" s="1" customFormat="1" ht="28.8" x14ac:dyDescent="0.3">
      <c r="A142" s="73">
        <v>136</v>
      </c>
      <c r="B142" s="11" t="s">
        <v>153</v>
      </c>
      <c r="C142" s="11" t="s">
        <v>153</v>
      </c>
      <c r="D142" s="83" t="s">
        <v>446</v>
      </c>
      <c r="E142" s="37" t="s">
        <v>139</v>
      </c>
      <c r="F142" s="95" t="s">
        <v>839</v>
      </c>
      <c r="G142" s="95" t="s">
        <v>839</v>
      </c>
      <c r="H142" s="96" t="s">
        <v>840</v>
      </c>
      <c r="I142" s="96" t="s">
        <v>841</v>
      </c>
      <c r="J142" s="96" t="s">
        <v>842</v>
      </c>
      <c r="K142" s="96" t="s">
        <v>1069</v>
      </c>
      <c r="L142" s="17" t="s">
        <v>288</v>
      </c>
      <c r="M142" s="38" t="s">
        <v>1430</v>
      </c>
      <c r="N142" s="38" t="s">
        <v>1430</v>
      </c>
      <c r="O142" s="38" t="s">
        <v>1430</v>
      </c>
      <c r="P142" s="38" t="s">
        <v>1430</v>
      </c>
      <c r="Q142" s="38" t="s">
        <v>1430</v>
      </c>
      <c r="R142" s="38" t="s">
        <v>1430</v>
      </c>
      <c r="S142" s="38" t="s">
        <v>1430</v>
      </c>
      <c r="T142" s="38" t="s">
        <v>1430</v>
      </c>
      <c r="U142" s="1" t="s">
        <v>1229</v>
      </c>
      <c r="V142" s="6" t="s">
        <v>1566</v>
      </c>
      <c r="W142" s="18" t="str">
        <f t="shared" si="6"/>
        <v xml:space="preserve">['A49', 'A49', 'BRAZO DE APERTURA P/PROYECTANTE 650', 'Par', 22.14, 22.14, 25.23, 24.36, 26.38, 25.47, 'Indalum - cbba -  -  - santa puej -  - ', 0.00, 0.00, 0.00, 0.00, 0.00, 0.00, 0.00, 0.00], </v>
      </c>
      <c r="X142" s="18"/>
      <c r="AB142" s="1" t="str">
        <f t="shared" si="5"/>
        <v>['A49', 'A49', 'BRAZO DE APERTURA P/PROYECTANTE 650', 0, 'Par'],</v>
      </c>
    </row>
    <row r="143" spans="1:28" s="1" customFormat="1" ht="28.8" x14ac:dyDescent="0.3">
      <c r="A143" s="73">
        <v>137</v>
      </c>
      <c r="B143" s="11" t="s">
        <v>154</v>
      </c>
      <c r="C143" s="11" t="s">
        <v>154</v>
      </c>
      <c r="D143" s="83" t="s">
        <v>447</v>
      </c>
      <c r="E143" s="37" t="s">
        <v>139</v>
      </c>
      <c r="F143" s="95" t="s">
        <v>843</v>
      </c>
      <c r="G143" s="95" t="s">
        <v>843</v>
      </c>
      <c r="H143" s="96" t="s">
        <v>844</v>
      </c>
      <c r="I143" s="96" t="s">
        <v>845</v>
      </c>
      <c r="J143" s="96" t="s">
        <v>846</v>
      </c>
      <c r="K143" s="96" t="s">
        <v>1070</v>
      </c>
      <c r="L143" s="17" t="s">
        <v>288</v>
      </c>
      <c r="M143" s="38" t="s">
        <v>1430</v>
      </c>
      <c r="N143" s="38" t="s">
        <v>1430</v>
      </c>
      <c r="O143" s="38" t="s">
        <v>1430</v>
      </c>
      <c r="P143" s="38" t="s">
        <v>1430</v>
      </c>
      <c r="Q143" s="38" t="s">
        <v>1430</v>
      </c>
      <c r="R143" s="38" t="s">
        <v>1430</v>
      </c>
      <c r="S143" s="38" t="s">
        <v>1430</v>
      </c>
      <c r="T143" s="38" t="s">
        <v>1430</v>
      </c>
      <c r="U143" s="1" t="s">
        <v>1230</v>
      </c>
      <c r="V143" s="6" t="s">
        <v>1567</v>
      </c>
      <c r="W143" s="18" t="str">
        <f t="shared" si="6"/>
        <v xml:space="preserve">['A50', 'A50', 'BRAZO DE APERTURA P/PROYECTANTE 900', 'Par', 27.42, 27.42, 31.24, 30.17, 32.66, 31.54, 'Indalum - cbba -  -  - santa puej -  - ', 0.00, 0.00, 0.00, 0.00, 0.00, 0.00, 0.00, 0.00], </v>
      </c>
      <c r="X143" s="18"/>
      <c r="AB143" s="1" t="str">
        <f t="shared" si="5"/>
        <v>['A50', 'A50', 'BRAZO DE APERTURA P/PROYECTANTE 900', 0, 'Par'],</v>
      </c>
    </row>
    <row r="144" spans="1:28" s="1" customFormat="1" ht="28.8" x14ac:dyDescent="0.3">
      <c r="A144" s="73">
        <v>138</v>
      </c>
      <c r="B144" s="11" t="s">
        <v>155</v>
      </c>
      <c r="C144" s="11" t="s">
        <v>155</v>
      </c>
      <c r="D144" s="83" t="s">
        <v>448</v>
      </c>
      <c r="E144" s="37" t="s">
        <v>139</v>
      </c>
      <c r="F144" s="95" t="s">
        <v>847</v>
      </c>
      <c r="G144" s="95" t="s">
        <v>847</v>
      </c>
      <c r="H144" s="96" t="s">
        <v>848</v>
      </c>
      <c r="I144" s="96" t="s">
        <v>849</v>
      </c>
      <c r="J144" s="96" t="s">
        <v>850</v>
      </c>
      <c r="K144" s="96" t="s">
        <v>1071</v>
      </c>
      <c r="L144" s="17" t="s">
        <v>288</v>
      </c>
      <c r="M144" s="38" t="s">
        <v>1430</v>
      </c>
      <c r="N144" s="38" t="s">
        <v>1430</v>
      </c>
      <c r="O144" s="38" t="s">
        <v>1430</v>
      </c>
      <c r="P144" s="38" t="s">
        <v>1430</v>
      </c>
      <c r="Q144" s="38" t="s">
        <v>1430</v>
      </c>
      <c r="R144" s="38" t="s">
        <v>1430</v>
      </c>
      <c r="S144" s="38" t="s">
        <v>1430</v>
      </c>
      <c r="T144" s="38" t="s">
        <v>1430</v>
      </c>
      <c r="U144" s="1" t="s">
        <v>1231</v>
      </c>
      <c r="V144" s="6" t="s">
        <v>1568</v>
      </c>
      <c r="W144" s="18" t="str">
        <f t="shared" si="6"/>
        <v xml:space="preserve">['A51', 'A51', 'BRAZO DE APERTURA P/PROYECTANTE 1200', 'Par', 39.58, 39.58, 45.1, 43.54, 47.15, 45.52, 'Indalum - cbba -  -  - santa puej -  - ', 0.00, 0.00, 0.00, 0.00, 0.00, 0.00, 0.00, 0.00], </v>
      </c>
      <c r="X144" s="18"/>
      <c r="AB144" s="1" t="str">
        <f t="shared" si="5"/>
        <v>['A51', 'A51', 'BRAZO DE APERTURA P/PROYECTANTE 1200', 0, 'Par'],</v>
      </c>
    </row>
    <row r="145" spans="1:28" s="1" customFormat="1" ht="28.8" x14ac:dyDescent="0.3">
      <c r="A145" s="73">
        <v>139</v>
      </c>
      <c r="B145" s="11" t="s">
        <v>156</v>
      </c>
      <c r="C145" s="11" t="s">
        <v>156</v>
      </c>
      <c r="D145" s="83" t="s">
        <v>449</v>
      </c>
      <c r="E145" s="37" t="s">
        <v>24</v>
      </c>
      <c r="F145" s="95" t="s">
        <v>600</v>
      </c>
      <c r="G145" s="95" t="s">
        <v>600</v>
      </c>
      <c r="H145" s="96" t="s">
        <v>603</v>
      </c>
      <c r="I145" s="96" t="s">
        <v>698</v>
      </c>
      <c r="J145" s="96" t="s">
        <v>851</v>
      </c>
      <c r="K145" s="96" t="s">
        <v>1072</v>
      </c>
      <c r="L145" s="17" t="s">
        <v>288</v>
      </c>
      <c r="M145" s="38" t="s">
        <v>1430</v>
      </c>
      <c r="N145" s="38" t="s">
        <v>1430</v>
      </c>
      <c r="O145" s="38" t="s">
        <v>1430</v>
      </c>
      <c r="P145" s="38" t="s">
        <v>1430</v>
      </c>
      <c r="Q145" s="38" t="s">
        <v>1430</v>
      </c>
      <c r="R145" s="38" t="s">
        <v>1430</v>
      </c>
      <c r="S145" s="38" t="s">
        <v>1430</v>
      </c>
      <c r="T145" s="38" t="s">
        <v>1430</v>
      </c>
      <c r="U145" s="1" t="s">
        <v>1232</v>
      </c>
      <c r="V145" s="6" t="s">
        <v>1569</v>
      </c>
      <c r="W145" s="18" t="str">
        <f t="shared" si="6"/>
        <v xml:space="preserve">['A52', 'A52', 'MANIJA PARA PROYECTANTE', 'Pza.', 3.04, 3.04, 3.47, 3.35, 3.63, 3.5, 'Indalum - cbba -  -  - santa puej -  - ', 0.00, 0.00, 0.00, 0.00, 0.00, 0.00, 0.00, 0.00], </v>
      </c>
      <c r="X145" s="18"/>
      <c r="AB145" s="1" t="str">
        <f t="shared" si="5"/>
        <v>['A52', 'A52', 'MANIJA PARA PROYECTANTE', 0, 'Pza.'],</v>
      </c>
    </row>
    <row r="146" spans="1:28" s="1" customFormat="1" ht="28.8" x14ac:dyDescent="0.3">
      <c r="A146" s="73">
        <v>140</v>
      </c>
      <c r="B146" s="11" t="s">
        <v>157</v>
      </c>
      <c r="C146" s="11" t="s">
        <v>157</v>
      </c>
      <c r="D146" s="83" t="s">
        <v>450</v>
      </c>
      <c r="E146" s="37" t="s">
        <v>24</v>
      </c>
      <c r="F146" s="95" t="s">
        <v>853</v>
      </c>
      <c r="G146" s="95">
        <v>20</v>
      </c>
      <c r="H146" s="96" t="s">
        <v>854</v>
      </c>
      <c r="I146" s="96">
        <v>22</v>
      </c>
      <c r="J146" s="96" t="s">
        <v>855</v>
      </c>
      <c r="K146" s="96">
        <v>23</v>
      </c>
      <c r="L146" s="17" t="s">
        <v>240</v>
      </c>
      <c r="M146" s="38" t="s">
        <v>1430</v>
      </c>
      <c r="N146" s="38" t="s">
        <v>1430</v>
      </c>
      <c r="O146" s="38" t="s">
        <v>1430</v>
      </c>
      <c r="P146" s="38" t="s">
        <v>1430</v>
      </c>
      <c r="Q146" s="38" t="s">
        <v>1430</v>
      </c>
      <c r="R146" s="38" t="s">
        <v>1430</v>
      </c>
      <c r="S146" s="38" t="s">
        <v>1430</v>
      </c>
      <c r="T146" s="38" t="s">
        <v>1430</v>
      </c>
      <c r="U146" s="1" t="s">
        <v>1233</v>
      </c>
      <c r="V146" s="6" t="s">
        <v>1570</v>
      </c>
      <c r="W146" s="18" t="str">
        <f t="shared" si="6"/>
        <v xml:space="preserve">['A53', 'A53', 'CHAPA P/PUERTA DE ALUMINIO', 'Pza.', 21.2, 20, 24.16, 22, 25.26, 23, 'Florencio Rivero - cbba -  -  - santa puej -  - ', 0.00, 0.00, 0.00, 0.00, 0.00, 0.00, 0.00, 0.00], </v>
      </c>
      <c r="X146" s="18"/>
      <c r="AB146" s="1" t="str">
        <f t="shared" si="5"/>
        <v>['A53', 'A53', 'CHAPA P/PUERTA DE ALUMINIO', 0, 'Pza.'],</v>
      </c>
    </row>
    <row r="147" spans="1:28" s="1" customFormat="1" ht="28.8" x14ac:dyDescent="0.3">
      <c r="A147" s="73">
        <v>141</v>
      </c>
      <c r="B147" s="11" t="s">
        <v>158</v>
      </c>
      <c r="C147" s="11" t="s">
        <v>158</v>
      </c>
      <c r="D147" s="83" t="s">
        <v>451</v>
      </c>
      <c r="E147" s="37" t="s">
        <v>31</v>
      </c>
      <c r="F147" s="95" t="s">
        <v>856</v>
      </c>
      <c r="G147" s="95">
        <v>10</v>
      </c>
      <c r="H147" s="96" t="s">
        <v>857</v>
      </c>
      <c r="I147" s="96">
        <v>11</v>
      </c>
      <c r="J147" s="96" t="s">
        <v>858</v>
      </c>
      <c r="K147" s="96" t="s">
        <v>686</v>
      </c>
      <c r="L147" s="17" t="s">
        <v>289</v>
      </c>
      <c r="M147" s="38" t="s">
        <v>1430</v>
      </c>
      <c r="N147" s="38" t="s">
        <v>1430</v>
      </c>
      <c r="O147" s="38" t="s">
        <v>1430</v>
      </c>
      <c r="P147" s="38" t="s">
        <v>1430</v>
      </c>
      <c r="Q147" s="38" t="s">
        <v>1430</v>
      </c>
      <c r="R147" s="38" t="s">
        <v>1430</v>
      </c>
      <c r="S147" s="38" t="s">
        <v>1430</v>
      </c>
      <c r="T147" s="38" t="s">
        <v>1430</v>
      </c>
      <c r="U147" s="1" t="s">
        <v>1234</v>
      </c>
      <c r="V147" s="6" t="s">
        <v>1571</v>
      </c>
      <c r="W147" s="18" t="str">
        <f t="shared" si="6"/>
        <v xml:space="preserve">['A54', 'A54', 'MANO DE OBRA CARPINTERÌA DE ALUMINIO.', 'Mt²', 12.72, 10, 14.5, 11, 15.16, 11.5, 'Hilarion ; 7 maestro + 3diseno - cbba -  -  - santa puej -  - ', 0.00, 0.00, 0.00, 0.00, 0.00, 0.00, 0.00, 0.00], </v>
      </c>
      <c r="X147" s="18"/>
      <c r="AB147" s="1" t="str">
        <f t="shared" si="5"/>
        <v>['A54', 'A54', 'MANO DE OBRA CARPINTERÌA DE ALUMINIO.', 0, 'Mt²'],</v>
      </c>
    </row>
    <row r="148" spans="1:28" s="1" customFormat="1" ht="28.8" x14ac:dyDescent="0.3">
      <c r="A148" s="73">
        <v>142</v>
      </c>
      <c r="B148" s="11" t="s">
        <v>159</v>
      </c>
      <c r="C148" s="11" t="s">
        <v>159</v>
      </c>
      <c r="D148" s="83" t="s">
        <v>452</v>
      </c>
      <c r="E148" s="37" t="s">
        <v>31</v>
      </c>
      <c r="F148" s="95" t="s">
        <v>856</v>
      </c>
      <c r="G148" s="95">
        <v>12</v>
      </c>
      <c r="H148" s="96" t="s">
        <v>857</v>
      </c>
      <c r="I148" s="96" t="s">
        <v>859</v>
      </c>
      <c r="J148" s="96" t="s">
        <v>858</v>
      </c>
      <c r="K148" s="96" t="s">
        <v>1073</v>
      </c>
      <c r="L148" s="17" t="s">
        <v>290</v>
      </c>
      <c r="M148" s="38" t="s">
        <v>1430</v>
      </c>
      <c r="N148" s="38" t="s">
        <v>1430</v>
      </c>
      <c r="O148" s="38" t="s">
        <v>1430</v>
      </c>
      <c r="P148" s="38" t="s">
        <v>1430</v>
      </c>
      <c r="Q148" s="38" t="s">
        <v>1430</v>
      </c>
      <c r="R148" s="38" t="s">
        <v>1430</v>
      </c>
      <c r="S148" s="38" t="s">
        <v>1430</v>
      </c>
      <c r="T148" s="38" t="s">
        <v>1430</v>
      </c>
      <c r="U148" s="1" t="s">
        <v>1235</v>
      </c>
      <c r="V148" s="6" t="s">
        <v>1572</v>
      </c>
      <c r="W148" s="18" t="str">
        <f t="shared" si="6"/>
        <v xml:space="preserve">['A55', 'A55', 'MANO DE OBRA FACHADAS, TECHOS Y ESPECIALES', 'Mt²', 12.72, 12, 14.5, 13.2, 15.16, 13.8, 'Hilarion ; 7 maestro + 5diseno - cbba -  -  - santa puej -  - ', 0.00, 0.00, 0.00, 0.00, 0.00, 0.00, 0.00, 0.00], </v>
      </c>
      <c r="X148" s="18"/>
      <c r="AB148" s="1" t="str">
        <f t="shared" si="5"/>
        <v>['A55', 'A55', 'MANO DE OBRA FACHADAS, TECHOS Y ESPECIALES', 0, 'Mt²'],</v>
      </c>
    </row>
    <row r="149" spans="1:28" s="1" customFormat="1" ht="28.8" x14ac:dyDescent="0.3">
      <c r="A149" s="73">
        <v>143</v>
      </c>
      <c r="B149" s="11" t="s">
        <v>160</v>
      </c>
      <c r="C149" s="11" t="s">
        <v>160</v>
      </c>
      <c r="D149" s="83" t="s">
        <v>453</v>
      </c>
      <c r="E149" s="37" t="s">
        <v>31</v>
      </c>
      <c r="F149" s="95" t="s">
        <v>856</v>
      </c>
      <c r="G149" s="95">
        <v>12</v>
      </c>
      <c r="H149" s="96" t="s">
        <v>857</v>
      </c>
      <c r="I149" s="96" t="s">
        <v>859</v>
      </c>
      <c r="J149" s="96" t="s">
        <v>858</v>
      </c>
      <c r="K149" s="96" t="s">
        <v>1073</v>
      </c>
      <c r="L149" s="17" t="s">
        <v>291</v>
      </c>
      <c r="M149" s="38" t="s">
        <v>1430</v>
      </c>
      <c r="N149" s="38" t="s">
        <v>1430</v>
      </c>
      <c r="O149" s="38" t="s">
        <v>1430</v>
      </c>
      <c r="P149" s="38" t="s">
        <v>1430</v>
      </c>
      <c r="Q149" s="38" t="s">
        <v>1430</v>
      </c>
      <c r="R149" s="38" t="s">
        <v>1430</v>
      </c>
      <c r="S149" s="38" t="s">
        <v>1430</v>
      </c>
      <c r="T149" s="38" t="s">
        <v>1430</v>
      </c>
      <c r="U149" s="1" t="s">
        <v>1236</v>
      </c>
      <c r="V149" s="6" t="s">
        <v>1573</v>
      </c>
      <c r="W149" s="18" t="str">
        <f t="shared" si="6"/>
        <v xml:space="preserve">['A56', 'A56', 'MANO DE OBRA COLOCACIÓN ESPEJOS', 'Mt²', 12.72, 12, 14.5, 13.2, 15.16, 13.8, 'Hilarion  - cbba -  -  - santa puej -  - ', 0.00, 0.00, 0.00, 0.00, 0.00, 0.00, 0.00, 0.00], </v>
      </c>
      <c r="X149" s="18"/>
      <c r="AB149" s="1" t="str">
        <f t="shared" si="5"/>
        <v>['A56', 'A56', 'MANO DE OBRA COLOCACIÓN ESPEJOS', 0, 'Mt²'],</v>
      </c>
    </row>
    <row r="150" spans="1:28" s="1" customFormat="1" ht="28.8" x14ac:dyDescent="0.3">
      <c r="A150" s="73">
        <v>144</v>
      </c>
      <c r="B150" s="11" t="s">
        <v>161</v>
      </c>
      <c r="C150" s="11" t="s">
        <v>161</v>
      </c>
      <c r="D150" s="83" t="s">
        <v>454</v>
      </c>
      <c r="E150" s="37" t="s">
        <v>31</v>
      </c>
      <c r="F150" s="95" t="s">
        <v>856</v>
      </c>
      <c r="G150" s="95">
        <v>10</v>
      </c>
      <c r="H150" s="96" t="s">
        <v>857</v>
      </c>
      <c r="I150" s="96">
        <v>11</v>
      </c>
      <c r="J150" s="96" t="s">
        <v>858</v>
      </c>
      <c r="K150" s="96" t="s">
        <v>686</v>
      </c>
      <c r="L150" s="17" t="s">
        <v>289</v>
      </c>
      <c r="M150" s="38" t="s">
        <v>1430</v>
      </c>
      <c r="N150" s="38" t="s">
        <v>1430</v>
      </c>
      <c r="O150" s="38" t="s">
        <v>1430</v>
      </c>
      <c r="P150" s="38" t="s">
        <v>1430</v>
      </c>
      <c r="Q150" s="38" t="s">
        <v>1430</v>
      </c>
      <c r="R150" s="38" t="s">
        <v>1430</v>
      </c>
      <c r="S150" s="38" t="s">
        <v>1430</v>
      </c>
      <c r="T150" s="38" t="s">
        <v>1430</v>
      </c>
      <c r="U150" s="1" t="s">
        <v>1237</v>
      </c>
      <c r="V150" s="6" t="s">
        <v>1574</v>
      </c>
      <c r="W150" s="18" t="str">
        <f t="shared" si="6"/>
        <v xml:space="preserve">['A57', 'A57', 'MANO DE OBRA FABRICACIÓN MALLERAS', 'Mt²', 12.72, 10, 14.5, 11, 15.16, 11.5, 'Hilarion ; 7 maestro + 3diseno - cbba -  -  - santa puej -  - ', 0.00, 0.00, 0.00, 0.00, 0.00, 0.00, 0.00, 0.00], </v>
      </c>
      <c r="X150" s="18"/>
      <c r="AB150" s="1" t="str">
        <f t="shared" si="5"/>
        <v>['A57', 'A57', 'MANO DE OBRA FABRICACIÓN MALLERAS', 0, 'Mt²'],</v>
      </c>
    </row>
    <row r="151" spans="1:28" s="1" customFormat="1" ht="28.8" x14ac:dyDescent="0.3">
      <c r="A151" s="73">
        <v>145</v>
      </c>
      <c r="B151" s="11" t="s">
        <v>162</v>
      </c>
      <c r="C151" s="11" t="s">
        <v>162</v>
      </c>
      <c r="D151" s="83" t="s">
        <v>455</v>
      </c>
      <c r="E151" s="37" t="s">
        <v>31</v>
      </c>
      <c r="F151" s="95" t="s">
        <v>860</v>
      </c>
      <c r="G151" s="95">
        <v>6</v>
      </c>
      <c r="H151" s="96" t="s">
        <v>861</v>
      </c>
      <c r="I151" s="96" t="s">
        <v>862</v>
      </c>
      <c r="J151" s="96" t="s">
        <v>863</v>
      </c>
      <c r="K151" s="96" t="s">
        <v>987</v>
      </c>
      <c r="L151" s="17" t="s">
        <v>292</v>
      </c>
      <c r="M151" s="38" t="s">
        <v>1430</v>
      </c>
      <c r="N151" s="38" t="s">
        <v>1430</v>
      </c>
      <c r="O151" s="38" t="s">
        <v>1430</v>
      </c>
      <c r="P151" s="38" t="s">
        <v>1430</v>
      </c>
      <c r="Q151" s="38" t="s">
        <v>1430</v>
      </c>
      <c r="R151" s="38" t="s">
        <v>1430</v>
      </c>
      <c r="S151" s="38" t="s">
        <v>1430</v>
      </c>
      <c r="T151" s="38" t="s">
        <v>1430</v>
      </c>
      <c r="U151" s="1" t="s">
        <v>1238</v>
      </c>
      <c r="V151" s="6" t="s">
        <v>1575</v>
      </c>
      <c r="W151" s="18" t="str">
        <f t="shared" si="6"/>
        <v xml:space="preserve">['A58', 'A58', 'MANO DE OBRA COLOCACIÓN CRUDO', 'Mt²', 6.36, 6, 7.25, 6.6, 7.58, 6.9, 'Hilarion 4 - cbba -  -  - santa puej -  - ', 0.00, 0.00, 0.00, 0.00, 0.00, 0.00, 0.00, 0.00], </v>
      </c>
      <c r="X151" s="18"/>
      <c r="AB151" s="1" t="str">
        <f t="shared" si="5"/>
        <v>['A58', 'A58', 'MANO DE OBRA COLOCACIÓN CRUDO', 0, 'Mt²'],</v>
      </c>
    </row>
    <row r="152" spans="1:28" s="1" customFormat="1" ht="28.8" x14ac:dyDescent="0.3">
      <c r="A152" s="73">
        <v>146</v>
      </c>
      <c r="B152" s="11" t="s">
        <v>163</v>
      </c>
      <c r="C152" s="11" t="s">
        <v>163</v>
      </c>
      <c r="D152" s="83" t="s">
        <v>456</v>
      </c>
      <c r="E152" s="37" t="s">
        <v>31</v>
      </c>
      <c r="F152" s="95" t="s">
        <v>860</v>
      </c>
      <c r="G152" s="95">
        <v>6</v>
      </c>
      <c r="H152" s="96" t="s">
        <v>861</v>
      </c>
      <c r="I152" s="96" t="s">
        <v>862</v>
      </c>
      <c r="J152" s="96" t="s">
        <v>863</v>
      </c>
      <c r="K152" s="96" t="s">
        <v>987</v>
      </c>
      <c r="L152" s="17" t="s">
        <v>292</v>
      </c>
      <c r="M152" s="38" t="s">
        <v>1430</v>
      </c>
      <c r="N152" s="38" t="s">
        <v>1430</v>
      </c>
      <c r="O152" s="38" t="s">
        <v>1430</v>
      </c>
      <c r="P152" s="38" t="s">
        <v>1430</v>
      </c>
      <c r="Q152" s="38" t="s">
        <v>1430</v>
      </c>
      <c r="R152" s="38" t="s">
        <v>1430</v>
      </c>
      <c r="S152" s="38" t="s">
        <v>1430</v>
      </c>
      <c r="T152" s="38" t="s">
        <v>1430</v>
      </c>
      <c r="U152" s="1" t="s">
        <v>1239</v>
      </c>
      <c r="V152" s="6" t="s">
        <v>1576</v>
      </c>
      <c r="W152" s="18" t="str">
        <f t="shared" si="6"/>
        <v xml:space="preserve">['A59', 'A59', 'MANO DE OBRA DIVISORES DE AMBIENTE Y CIELOS', 'Mt²', 6.36, 6, 7.25, 6.6, 7.58, 6.9, 'Hilarion 4 - cbba -  -  - santa puej -  - ', 0.00, 0.00, 0.00, 0.00, 0.00, 0.00, 0.00, 0.00], </v>
      </c>
      <c r="X152" s="18"/>
      <c r="AB152" s="1" t="str">
        <f t="shared" si="5"/>
        <v>['A59', 'A59', 'MANO DE OBRA DIVISORES DE AMBIENTE Y CIELOS', 0, 'Mt²'],</v>
      </c>
    </row>
    <row r="153" spans="1:28" s="1" customFormat="1" ht="28.8" x14ac:dyDescent="0.3">
      <c r="A153" s="73">
        <v>147</v>
      </c>
      <c r="B153" s="11" t="s">
        <v>164</v>
      </c>
      <c r="C153" s="11" t="s">
        <v>164</v>
      </c>
      <c r="D153" s="83" t="s">
        <v>457</v>
      </c>
      <c r="E153" s="37" t="s">
        <v>24</v>
      </c>
      <c r="F153" s="95">
        <v>4</v>
      </c>
      <c r="G153" s="95">
        <v>4</v>
      </c>
      <c r="H153" s="96" t="s">
        <v>852</v>
      </c>
      <c r="I153" s="96" t="s">
        <v>864</v>
      </c>
      <c r="J153" s="96" t="s">
        <v>865</v>
      </c>
      <c r="K153" s="96" t="s">
        <v>1074</v>
      </c>
      <c r="L153" s="17" t="s">
        <v>293</v>
      </c>
      <c r="M153" s="38" t="s">
        <v>1430</v>
      </c>
      <c r="N153" s="38" t="s">
        <v>1430</v>
      </c>
      <c r="O153" s="38" t="s">
        <v>1430</v>
      </c>
      <c r="P153" s="38" t="s">
        <v>1430</v>
      </c>
      <c r="Q153" s="38" t="s">
        <v>1430</v>
      </c>
      <c r="R153" s="38" t="s">
        <v>1430</v>
      </c>
      <c r="S153" s="38" t="s">
        <v>1430</v>
      </c>
      <c r="T153" s="38" t="s">
        <v>1430</v>
      </c>
      <c r="U153" s="1" t="s">
        <v>1240</v>
      </c>
      <c r="V153" s="6" t="s">
        <v>1577</v>
      </c>
      <c r="W153" s="18" t="str">
        <f t="shared" si="6"/>
        <v xml:space="preserve">['A60', 'A60', 'TESADOR PARA PUERTAS 5/16', 'Pza.', 4, 4, 4.56, 4.4, 4.77, 4.6, 'Perbol - cbba -  -  - santa puej -  - ', 0.00, 0.00, 0.00, 0.00, 0.00, 0.00, 0.00, 0.00], </v>
      </c>
      <c r="X153" s="18"/>
      <c r="AB153" s="1" t="str">
        <f t="shared" si="5"/>
        <v>['A60', 'A60', 'TESADOR PARA PUERTAS 5/16', 0, 'Pza.'],</v>
      </c>
    </row>
    <row r="154" spans="1:28" s="1" customFormat="1" ht="28.8" x14ac:dyDescent="0.3">
      <c r="A154" s="73">
        <v>148</v>
      </c>
      <c r="B154" s="11" t="s">
        <v>165</v>
      </c>
      <c r="C154" s="11" t="s">
        <v>165</v>
      </c>
      <c r="D154" s="83" t="s">
        <v>458</v>
      </c>
      <c r="E154" s="37" t="s">
        <v>31</v>
      </c>
      <c r="F154" s="95" t="s">
        <v>866</v>
      </c>
      <c r="G154" s="95" t="s">
        <v>976</v>
      </c>
      <c r="H154" s="96" t="s">
        <v>624</v>
      </c>
      <c r="I154" s="96" t="s">
        <v>601</v>
      </c>
      <c r="J154" s="96" t="s">
        <v>699</v>
      </c>
      <c r="K154" s="96" t="s">
        <v>1075</v>
      </c>
      <c r="L154" s="17" t="s">
        <v>294</v>
      </c>
      <c r="M154" s="38" t="s">
        <v>1430</v>
      </c>
      <c r="N154" s="38" t="s">
        <v>1430</v>
      </c>
      <c r="O154" s="38" t="s">
        <v>1430</v>
      </c>
      <c r="P154" s="38" t="s">
        <v>1430</v>
      </c>
      <c r="Q154" s="38" t="s">
        <v>1430</v>
      </c>
      <c r="R154" s="38" t="s">
        <v>1430</v>
      </c>
      <c r="S154" s="38" t="s">
        <v>1430</v>
      </c>
      <c r="T154" s="38" t="s">
        <v>1430</v>
      </c>
      <c r="U154" s="1" t="s">
        <v>1241</v>
      </c>
      <c r="V154" s="6" t="s">
        <v>1578</v>
      </c>
      <c r="W154" s="18" t="str">
        <f t="shared" si="6"/>
        <v xml:space="preserve">['A61', 'A61', 'MALLA MILIMÉTRICA PLÁSTICA', 'Mt²', 3.2, 2.86, 3.65, 3.15, 3.82, 3.29, 'Ferretería - 20% - cbba -  -  - santa puej -  - ', 0.00, 0.00, 0.00, 0.00, 0.00, 0.00, 0.00, 0.00], </v>
      </c>
      <c r="X154" s="18"/>
      <c r="AB154" s="1" t="str">
        <f t="shared" si="5"/>
        <v>['A61', 'A61', 'MALLA MILIMÉTRICA PLÁSTICA', 0, 'Mt²'],</v>
      </c>
    </row>
    <row r="155" spans="1:28" s="1" customFormat="1" ht="28.8" x14ac:dyDescent="0.3">
      <c r="A155" s="73">
        <v>149</v>
      </c>
      <c r="B155" s="11" t="s">
        <v>166</v>
      </c>
      <c r="C155" s="11" t="s">
        <v>166</v>
      </c>
      <c r="D155" s="83" t="s">
        <v>459</v>
      </c>
      <c r="E155" s="37" t="s">
        <v>15</v>
      </c>
      <c r="F155" s="95">
        <v>3</v>
      </c>
      <c r="G155" s="95">
        <v>3</v>
      </c>
      <c r="H155" s="96" t="s">
        <v>594</v>
      </c>
      <c r="I155" s="96" t="s">
        <v>595</v>
      </c>
      <c r="J155" s="96" t="s">
        <v>596</v>
      </c>
      <c r="K155" s="96" t="s">
        <v>1014</v>
      </c>
      <c r="L155" s="17" t="s">
        <v>295</v>
      </c>
      <c r="M155" s="38" t="s">
        <v>1430</v>
      </c>
      <c r="N155" s="38" t="s">
        <v>1430</v>
      </c>
      <c r="O155" s="38" t="s">
        <v>1430</v>
      </c>
      <c r="P155" s="38" t="s">
        <v>1430</v>
      </c>
      <c r="Q155" s="38" t="s">
        <v>1430</v>
      </c>
      <c r="R155" s="38" t="s">
        <v>1430</v>
      </c>
      <c r="S155" s="38" t="s">
        <v>1430</v>
      </c>
      <c r="T155" s="38" t="s">
        <v>1430</v>
      </c>
      <c r="U155" s="1" t="s">
        <v>1242</v>
      </c>
      <c r="V155" s="6" t="s">
        <v>1579</v>
      </c>
      <c r="W155" s="18" t="str">
        <f t="shared" si="6"/>
        <v xml:space="preserve">['A62', 'A62', 'BISELADO HASTA 2,7 CM', 'Mt lineal', 3, 3, 3.42, 3.3, 3.58, 3.45, 'VICOR - cbba -  -  - santa puej -  - ', 0.00, 0.00, 0.00, 0.00, 0.00, 0.00, 0.00, 0.00], </v>
      </c>
      <c r="X155" s="18"/>
      <c r="AB155" s="1" t="str">
        <f t="shared" si="5"/>
        <v>['A62', 'A62', 'BISELADO HASTA 2,7 CM', 0, 'Mt lineal'],</v>
      </c>
    </row>
    <row r="156" spans="1:28" s="1" customFormat="1" ht="28.8" x14ac:dyDescent="0.3">
      <c r="A156" s="73">
        <v>150</v>
      </c>
      <c r="B156" s="11" t="s">
        <v>167</v>
      </c>
      <c r="C156" s="11" t="s">
        <v>167</v>
      </c>
      <c r="D156" s="83" t="s">
        <v>460</v>
      </c>
      <c r="E156" s="37" t="s">
        <v>24</v>
      </c>
      <c r="F156" s="95" t="s">
        <v>527</v>
      </c>
      <c r="G156" s="95" t="s">
        <v>527</v>
      </c>
      <c r="H156" s="96" t="s">
        <v>528</v>
      </c>
      <c r="I156" s="96" t="s">
        <v>529</v>
      </c>
      <c r="J156" s="96" t="s">
        <v>528</v>
      </c>
      <c r="K156" s="96" t="s">
        <v>528</v>
      </c>
      <c r="L156" s="17" t="s">
        <v>288</v>
      </c>
      <c r="M156" s="38" t="s">
        <v>1430</v>
      </c>
      <c r="N156" s="38" t="s">
        <v>1430</v>
      </c>
      <c r="O156" s="38" t="s">
        <v>1430</v>
      </c>
      <c r="P156" s="38" t="s">
        <v>1430</v>
      </c>
      <c r="Q156" s="38" t="s">
        <v>1430</v>
      </c>
      <c r="R156" s="38" t="s">
        <v>1430</v>
      </c>
      <c r="S156" s="38" t="s">
        <v>1430</v>
      </c>
      <c r="T156" s="38" t="s">
        <v>1430</v>
      </c>
      <c r="U156" s="1" t="s">
        <v>1243</v>
      </c>
      <c r="V156" s="6" t="s">
        <v>1580</v>
      </c>
      <c r="W156" s="18" t="str">
        <f t="shared" si="6"/>
        <v xml:space="preserve">['A63', 'A63', 'ESCUADRA DE ARMADO', 'Pza.', 0.15, 0.15, 0.18, 0.17, 0.18, 0.18, 'Indalum - cbba -  -  - santa puej -  - ', 0.00, 0.00, 0.00, 0.00, 0.00, 0.00, 0.00, 0.00], </v>
      </c>
      <c r="X156" s="18"/>
      <c r="AB156" s="1" t="str">
        <f t="shared" si="5"/>
        <v>['A63', 'A63', 'ESCUADRA DE ARMADO', 0, 'Pza.'],</v>
      </c>
    </row>
    <row r="157" spans="1:28" s="1" customFormat="1" ht="28.8" x14ac:dyDescent="0.3">
      <c r="A157" s="73">
        <v>151</v>
      </c>
      <c r="B157" s="11" t="s">
        <v>168</v>
      </c>
      <c r="C157" s="11" t="s">
        <v>168</v>
      </c>
      <c r="D157" s="83" t="s">
        <v>461</v>
      </c>
      <c r="E157" s="37" t="s">
        <v>31</v>
      </c>
      <c r="F157" s="95" t="s">
        <v>576</v>
      </c>
      <c r="G157" s="95" t="s">
        <v>716</v>
      </c>
      <c r="H157" s="96" t="s">
        <v>867</v>
      </c>
      <c r="I157" s="96" t="s">
        <v>868</v>
      </c>
      <c r="J157" s="96" t="s">
        <v>1076</v>
      </c>
      <c r="K157" s="96" t="s">
        <v>1077</v>
      </c>
      <c r="L157" s="17" t="s">
        <v>1423</v>
      </c>
      <c r="M157" s="38" t="s">
        <v>1430</v>
      </c>
      <c r="N157" s="38" t="s">
        <v>1430</v>
      </c>
      <c r="O157" s="38" t="s">
        <v>1430</v>
      </c>
      <c r="P157" s="38" t="s">
        <v>1430</v>
      </c>
      <c r="Q157" s="38" t="s">
        <v>1430</v>
      </c>
      <c r="R157" s="38" t="s">
        <v>1430</v>
      </c>
      <c r="S157" s="38" t="s">
        <v>1430</v>
      </c>
      <c r="T157" s="38" t="s">
        <v>1430</v>
      </c>
      <c r="U157" s="1" t="s">
        <v>1244</v>
      </c>
      <c r="V157" s="6" t="s">
        <v>1581</v>
      </c>
      <c r="W157" s="18" t="str">
        <f t="shared" si="6"/>
        <v xml:space="preserve">['A64', 'A64', 'VIDRIO ESPEJO INCOLORO 3MM', 'Mt²', 10.8, 9.72, 12.31, 10.69, 12.87, 11.18, 'Revibol - 9.15 - 8.38 - 18% - cbba -  -  - santa puej -  - ', 0.00, 0.00, 0.00, 0.00, 0.00, 0.00, 0.00, 0.00], </v>
      </c>
      <c r="X157" s="18"/>
      <c r="AB157" s="1" t="str">
        <f t="shared" si="5"/>
        <v>['A64', 'A64', 'VIDRIO ESPEJO INCOLORO 3MM', 0, 'Mt²'],</v>
      </c>
    </row>
    <row r="158" spans="1:28" s="1" customFormat="1" ht="28.8" x14ac:dyDescent="0.3">
      <c r="A158" s="73">
        <v>152</v>
      </c>
      <c r="B158" s="11" t="s">
        <v>169</v>
      </c>
      <c r="C158" s="11" t="s">
        <v>169</v>
      </c>
      <c r="D158" s="83" t="s">
        <v>462</v>
      </c>
      <c r="E158" s="37" t="s">
        <v>31</v>
      </c>
      <c r="F158" s="95" t="s">
        <v>977</v>
      </c>
      <c r="G158" s="95" t="s">
        <v>978</v>
      </c>
      <c r="H158" s="96" t="s">
        <v>869</v>
      </c>
      <c r="I158" s="96" t="s">
        <v>870</v>
      </c>
      <c r="J158" s="96" t="s">
        <v>871</v>
      </c>
      <c r="K158" s="96" t="s">
        <v>663</v>
      </c>
      <c r="L158" s="17" t="s">
        <v>1424</v>
      </c>
      <c r="M158" s="38" t="s">
        <v>1430</v>
      </c>
      <c r="N158" s="38" t="s">
        <v>1430</v>
      </c>
      <c r="O158" s="38" t="s">
        <v>1430</v>
      </c>
      <c r="P158" s="38" t="s">
        <v>1430</v>
      </c>
      <c r="Q158" s="38" t="s">
        <v>1430</v>
      </c>
      <c r="R158" s="38" t="s">
        <v>1430</v>
      </c>
      <c r="S158" s="38" t="s">
        <v>1430</v>
      </c>
      <c r="T158" s="38" t="s">
        <v>1430</v>
      </c>
      <c r="U158" s="1" t="s">
        <v>1245</v>
      </c>
      <c r="V158" s="6" t="s">
        <v>1582</v>
      </c>
      <c r="W158" s="18" t="str">
        <f t="shared" si="6"/>
        <v xml:space="preserve">['A65', 'A65', 'VIDRIO ESPEJO INCOLORO 4MM', 'Mt²', 12.96, 11.67, 14.77, 12.83, 15.44, 13.43, 'Revibol - 10.98 - 9.89 - 18% - cbba -  -  - santa puej -  - ', 0.00, 0.00, 0.00, 0.00, 0.00, 0.00, 0.00, 0.00], </v>
      </c>
      <c r="X158" s="18"/>
      <c r="AB158" s="1" t="str">
        <f t="shared" si="5"/>
        <v>['A65', 'A65', 'VIDRIO ESPEJO INCOLORO 4MM', 0, 'Mt²'],</v>
      </c>
    </row>
    <row r="159" spans="1:28" s="1" customFormat="1" ht="28.8" x14ac:dyDescent="0.3">
      <c r="A159" s="73">
        <v>153</v>
      </c>
      <c r="B159" s="11" t="s">
        <v>170</v>
      </c>
      <c r="C159" s="11" t="s">
        <v>170</v>
      </c>
      <c r="D159" s="83" t="s">
        <v>463</v>
      </c>
      <c r="E159" s="37" t="s">
        <v>15</v>
      </c>
      <c r="F159" s="95" t="s">
        <v>515</v>
      </c>
      <c r="G159" s="95" t="s">
        <v>515</v>
      </c>
      <c r="H159" s="96" t="s">
        <v>872</v>
      </c>
      <c r="I159" s="96" t="s">
        <v>873</v>
      </c>
      <c r="J159" s="96" t="s">
        <v>874</v>
      </c>
      <c r="K159" s="96" t="s">
        <v>1078</v>
      </c>
      <c r="L159" s="17" t="s">
        <v>233</v>
      </c>
      <c r="M159" s="38" t="s">
        <v>1430</v>
      </c>
      <c r="N159" s="38" t="s">
        <v>1430</v>
      </c>
      <c r="O159" s="38" t="s">
        <v>1430</v>
      </c>
      <c r="P159" s="38" t="s">
        <v>1430</v>
      </c>
      <c r="Q159" s="38" t="s">
        <v>1430</v>
      </c>
      <c r="R159" s="38" t="s">
        <v>1430</v>
      </c>
      <c r="S159" s="38" t="s">
        <v>1430</v>
      </c>
      <c r="T159" s="38" t="s">
        <v>1430</v>
      </c>
      <c r="U159" s="1" t="s">
        <v>1246</v>
      </c>
      <c r="V159" s="6" t="s">
        <v>1583</v>
      </c>
      <c r="W159" s="18" t="str">
        <f t="shared" si="6"/>
        <v xml:space="preserve">['A66', 'A66', 'PULIDO DE VIDRIO A MÁQUINA', 'Mt lineal', 1.7, 1.7, 1.94, 1.87, 2.03, 1.96, 'Revibol - cbba -  -  - santa puej -  - ', 0.00, 0.00, 0.00, 0.00, 0.00, 0.00, 0.00, 0.00], </v>
      </c>
      <c r="X159" s="18"/>
      <c r="AB159" s="1" t="str">
        <f t="shared" si="5"/>
        <v>['A66', 'A66', 'PULIDO DE VIDRIO A MÁQUINA', 0, 'Mt lineal'],</v>
      </c>
    </row>
    <row r="160" spans="1:28" s="1" customFormat="1" ht="28.8" x14ac:dyDescent="0.3">
      <c r="A160" s="73">
        <v>154</v>
      </c>
      <c r="B160" s="11" t="s">
        <v>171</v>
      </c>
      <c r="C160" s="11" t="s">
        <v>171</v>
      </c>
      <c r="D160" s="83" t="s">
        <v>464</v>
      </c>
      <c r="E160" s="37" t="s">
        <v>172</v>
      </c>
      <c r="F160" s="95" t="s">
        <v>875</v>
      </c>
      <c r="G160" s="95" t="s">
        <v>875</v>
      </c>
      <c r="H160" s="96" t="s">
        <v>876</v>
      </c>
      <c r="I160" s="96" t="s">
        <v>877</v>
      </c>
      <c r="J160" s="96" t="s">
        <v>878</v>
      </c>
      <c r="K160" s="96" t="s">
        <v>652</v>
      </c>
      <c r="L160" s="17" t="s">
        <v>233</v>
      </c>
      <c r="M160" s="38" t="s">
        <v>1430</v>
      </c>
      <c r="N160" s="38" t="s">
        <v>1430</v>
      </c>
      <c r="O160" s="38" t="s">
        <v>1430</v>
      </c>
      <c r="P160" s="38" t="s">
        <v>1430</v>
      </c>
      <c r="Q160" s="38" t="s">
        <v>1430</v>
      </c>
      <c r="R160" s="38" t="s">
        <v>1430</v>
      </c>
      <c r="S160" s="38" t="s">
        <v>1430</v>
      </c>
      <c r="T160" s="38" t="s">
        <v>1430</v>
      </c>
      <c r="U160" s="1" t="s">
        <v>1247</v>
      </c>
      <c r="V160" s="6" t="s">
        <v>1584</v>
      </c>
      <c r="W160" s="18" t="str">
        <f t="shared" si="6"/>
        <v xml:space="preserve">['A67', 'A67', 'PERFORACIÓN DE VIDRIO', 'Hoyo', 5.6, 5.6, 6.38, 6.16, 6.67, 6.44, 'Revibol - cbba -  -  - santa puej -  - ', 0.00, 0.00, 0.00, 0.00, 0.00, 0.00, 0.00, 0.00], </v>
      </c>
      <c r="X160" s="18"/>
      <c r="AB160" s="1" t="str">
        <f t="shared" si="5"/>
        <v>['A67', 'A67', 'PERFORACIÓN DE VIDRIO', 0, 'Hoyo'],</v>
      </c>
    </row>
    <row r="161" spans="1:28" s="1" customFormat="1" ht="28.8" x14ac:dyDescent="0.3">
      <c r="A161" s="73">
        <v>155</v>
      </c>
      <c r="B161" s="11" t="s">
        <v>173</v>
      </c>
      <c r="C161" s="11" t="s">
        <v>173</v>
      </c>
      <c r="D161" s="83" t="s">
        <v>465</v>
      </c>
      <c r="E161" s="37" t="s">
        <v>24</v>
      </c>
      <c r="F161" s="95" t="s">
        <v>879</v>
      </c>
      <c r="G161" s="95">
        <v>9</v>
      </c>
      <c r="H161" s="96" t="s">
        <v>880</v>
      </c>
      <c r="I161" s="96" t="s">
        <v>881</v>
      </c>
      <c r="J161" s="96" t="s">
        <v>882</v>
      </c>
      <c r="K161" s="96" t="s">
        <v>1079</v>
      </c>
      <c r="L161" s="17" t="s">
        <v>298</v>
      </c>
      <c r="M161" s="38" t="s">
        <v>1430</v>
      </c>
      <c r="N161" s="38" t="s">
        <v>1430</v>
      </c>
      <c r="O161" s="38" t="s">
        <v>1430</v>
      </c>
      <c r="P161" s="38" t="s">
        <v>1430</v>
      </c>
      <c r="Q161" s="38" t="s">
        <v>1430</v>
      </c>
      <c r="R161" s="38" t="s">
        <v>1430</v>
      </c>
      <c r="S161" s="38" t="s">
        <v>1430</v>
      </c>
      <c r="T161" s="38" t="s">
        <v>1430</v>
      </c>
      <c r="U161" s="1" t="s">
        <v>1248</v>
      </c>
      <c r="V161" s="6" t="s">
        <v>1585</v>
      </c>
      <c r="W161" s="18" t="str">
        <f t="shared" si="6"/>
        <v xml:space="preserve">['A68', 'A68', 'MANO DE OBRA CELOSÍAS', 'Pza.', 9.54, 9, 10.87, 9.9, 11.37, 10.35, 'Hilarion o Silverio o Octavio 7 - cbba -  -  - santa puej -  - ', 0.00, 0.00, 0.00, 0.00, 0.00, 0.00, 0.00, 0.00], </v>
      </c>
      <c r="X161" s="18"/>
      <c r="AB161" s="1" t="str">
        <f t="shared" si="5"/>
        <v>['A68', 'A68', 'MANO DE OBRA CELOSÍAS', 0, 'Pza.'],</v>
      </c>
    </row>
    <row r="162" spans="1:28" s="1" customFormat="1" ht="28.8" x14ac:dyDescent="0.3">
      <c r="A162" s="73">
        <v>156</v>
      </c>
      <c r="B162" s="11" t="s">
        <v>174</v>
      </c>
      <c r="C162" s="11" t="s">
        <v>174</v>
      </c>
      <c r="D162" s="83" t="s">
        <v>466</v>
      </c>
      <c r="E162" s="37" t="s">
        <v>24</v>
      </c>
      <c r="F162" s="95">
        <v>2</v>
      </c>
      <c r="G162" s="95" t="s">
        <v>772</v>
      </c>
      <c r="H162" s="96" t="s">
        <v>883</v>
      </c>
      <c r="I162" s="96" t="s">
        <v>817</v>
      </c>
      <c r="J162" s="96" t="s">
        <v>884</v>
      </c>
      <c r="K162" s="96" t="s">
        <v>1064</v>
      </c>
      <c r="L162" s="17" t="s">
        <v>273</v>
      </c>
      <c r="M162" s="38" t="s">
        <v>1430</v>
      </c>
      <c r="N162" s="38" t="s">
        <v>1430</v>
      </c>
      <c r="O162" s="38" t="s">
        <v>1430</v>
      </c>
      <c r="P162" s="38" t="s">
        <v>1430</v>
      </c>
      <c r="Q162" s="38" t="s">
        <v>1430</v>
      </c>
      <c r="R162" s="38" t="s">
        <v>1430</v>
      </c>
      <c r="S162" s="38" t="s">
        <v>1430</v>
      </c>
      <c r="T162" s="38" t="s">
        <v>1430</v>
      </c>
      <c r="U162" s="1" t="s">
        <v>1249</v>
      </c>
      <c r="V162" s="6" t="s">
        <v>1586</v>
      </c>
      <c r="W162" s="18" t="str">
        <f t="shared" si="6"/>
        <v xml:space="preserve">['A69', 'A69', 'JALADOR PARA MALLERA', 'Pza.', 2, 1.8, 2.28, 1.98, 2.39, 2.07, ' - cbba -  -  - santa puej -  - ', 0.00, 0.00, 0.00, 0.00, 0.00, 0.00, 0.00, 0.00], </v>
      </c>
      <c r="X162" s="18"/>
      <c r="AB162" s="1" t="str">
        <f t="shared" si="5"/>
        <v>['A69', 'A69', 'JALADOR PARA MALLERA', 0, 'Pza.'],</v>
      </c>
    </row>
    <row r="163" spans="1:28" s="1" customFormat="1" ht="28.8" x14ac:dyDescent="0.3">
      <c r="A163" s="73">
        <v>157</v>
      </c>
      <c r="B163" s="11" t="s">
        <v>175</v>
      </c>
      <c r="C163" s="11" t="s">
        <v>175</v>
      </c>
      <c r="D163" s="83" t="s">
        <v>467</v>
      </c>
      <c r="E163" s="37" t="s">
        <v>24</v>
      </c>
      <c r="F163" s="95">
        <v>12</v>
      </c>
      <c r="G163" s="95">
        <v>12</v>
      </c>
      <c r="H163" s="96" t="s">
        <v>885</v>
      </c>
      <c r="I163" s="96" t="s">
        <v>859</v>
      </c>
      <c r="J163" s="96" t="s">
        <v>789</v>
      </c>
      <c r="K163" s="96" t="s">
        <v>1073</v>
      </c>
      <c r="L163" s="17" t="s">
        <v>273</v>
      </c>
      <c r="M163" s="38" t="s">
        <v>1430</v>
      </c>
      <c r="N163" s="38" t="s">
        <v>1430</v>
      </c>
      <c r="O163" s="38" t="s">
        <v>1430</v>
      </c>
      <c r="P163" s="38" t="s">
        <v>1430</v>
      </c>
      <c r="Q163" s="38" t="s">
        <v>1430</v>
      </c>
      <c r="R163" s="38" t="s">
        <v>1430</v>
      </c>
      <c r="S163" s="38" t="s">
        <v>1430</v>
      </c>
      <c r="T163" s="38" t="s">
        <v>1430</v>
      </c>
      <c r="U163" s="1" t="s">
        <v>1250</v>
      </c>
      <c r="V163" s="6" t="s">
        <v>1587</v>
      </c>
      <c r="W163" s="18" t="str">
        <f t="shared" si="6"/>
        <v xml:space="preserve">['A70', 'A70', 'ANCLAJES DE HIERRO (PZAS.)', 'Pza.', 12, 12, 13.68, 13.2, 14.3, 13.8, ' - cbba -  -  - santa puej -  - ', 0.00, 0.00, 0.00, 0.00, 0.00, 0.00, 0.00, 0.00], </v>
      </c>
      <c r="X163" s="18"/>
      <c r="AB163" s="1" t="str">
        <f t="shared" si="5"/>
        <v>['A70', 'A70', 'ANCLAJES DE HIERRO (PZAS.)', 0, 'Pza.'],</v>
      </c>
    </row>
    <row r="164" spans="1:28" s="1" customFormat="1" ht="28.8" x14ac:dyDescent="0.3">
      <c r="A164" s="73">
        <v>158</v>
      </c>
      <c r="B164" s="11" t="s">
        <v>176</v>
      </c>
      <c r="C164" s="11" t="s">
        <v>176</v>
      </c>
      <c r="D164" s="81" t="s">
        <v>468</v>
      </c>
      <c r="E164" s="37" t="s">
        <v>24</v>
      </c>
      <c r="F164" s="95">
        <v>3</v>
      </c>
      <c r="G164" s="95">
        <v>3</v>
      </c>
      <c r="H164" s="96" t="s">
        <v>594</v>
      </c>
      <c r="I164" s="96" t="s">
        <v>595</v>
      </c>
      <c r="J164" s="96" t="s">
        <v>596</v>
      </c>
      <c r="K164" s="96" t="s">
        <v>1014</v>
      </c>
      <c r="L164" s="17" t="s">
        <v>273</v>
      </c>
      <c r="M164" s="38" t="s">
        <v>1430</v>
      </c>
      <c r="N164" s="38" t="s">
        <v>1430</v>
      </c>
      <c r="O164" s="38" t="s">
        <v>1430</v>
      </c>
      <c r="P164" s="38" t="s">
        <v>1430</v>
      </c>
      <c r="Q164" s="38" t="s">
        <v>1430</v>
      </c>
      <c r="R164" s="38" t="s">
        <v>1430</v>
      </c>
      <c r="S164" s="38" t="s">
        <v>1430</v>
      </c>
      <c r="T164" s="38" t="s">
        <v>1430</v>
      </c>
      <c r="U164" s="1" t="s">
        <v>1251</v>
      </c>
      <c r="V164" s="6" t="s">
        <v>1588</v>
      </c>
      <c r="W164" s="18" t="str">
        <f t="shared" si="6"/>
        <v xml:space="preserve">['A71', 'A71', 'PERNOS DE EXPANSIÓN (PZAS.)', 'Pza.', 3, 3, 3.42, 3.3, 3.58, 3.45, ' - cbba -  -  - santa puej -  - ', 0.00, 0.00, 0.00, 0.00, 0.00, 0.00, 0.00, 0.00], </v>
      </c>
      <c r="X164" s="18"/>
      <c r="AB164" s="1" t="str">
        <f t="shared" si="5"/>
        <v>['A71', 'A71', 'PERNOS DE EXPANSIÓN (PZAS.)', 0, 'Pza.'],</v>
      </c>
    </row>
    <row r="165" spans="1:28" s="1" customFormat="1" ht="28.8" x14ac:dyDescent="0.3">
      <c r="A165" s="73">
        <v>159</v>
      </c>
      <c r="B165" s="11" t="s">
        <v>177</v>
      </c>
      <c r="C165" s="11" t="s">
        <v>177</v>
      </c>
      <c r="D165" s="81" t="s">
        <v>1321</v>
      </c>
      <c r="E165" s="37" t="s">
        <v>24</v>
      </c>
      <c r="F165" s="95">
        <v>1</v>
      </c>
      <c r="G165" s="95">
        <v>1</v>
      </c>
      <c r="H165" s="96" t="s">
        <v>886</v>
      </c>
      <c r="I165" s="96" t="s">
        <v>887</v>
      </c>
      <c r="J165" s="96" t="s">
        <v>770</v>
      </c>
      <c r="K165" s="96" t="s">
        <v>605</v>
      </c>
      <c r="L165" s="17" t="s">
        <v>273</v>
      </c>
      <c r="M165" s="38" t="s">
        <v>1430</v>
      </c>
      <c r="N165" s="38" t="s">
        <v>1430</v>
      </c>
      <c r="O165" s="38" t="s">
        <v>1430</v>
      </c>
      <c r="P165" s="38" t="s">
        <v>1430</v>
      </c>
      <c r="Q165" s="38" t="s">
        <v>1430</v>
      </c>
      <c r="R165" s="38" t="s">
        <v>1430</v>
      </c>
      <c r="S165" s="38" t="s">
        <v>1430</v>
      </c>
      <c r="T165" s="38" t="s">
        <v>1430</v>
      </c>
      <c r="U165" s="1" t="s">
        <v>1252</v>
      </c>
      <c r="V165" s="6" t="s">
        <v>1589</v>
      </c>
      <c r="W165" s="18" t="str">
        <f t="shared" si="6"/>
        <v xml:space="preserve">['A72', 'A72', 'TORNILLO Y TUERCA DE 2 Pulg. (PZAS.)', 'Pza.', 1, 1, 1.14, 1.1, 1.2, 1.15, ' - cbba -  -  - santa puej -  - ', 0.00, 0.00, 0.00, 0.00, 0.00, 0.00, 0.00, 0.00], </v>
      </c>
      <c r="X165" s="18"/>
      <c r="AB165" s="1" t="str">
        <f t="shared" si="5"/>
        <v>['A72', 'A72', 'TORNILLO Y TUERCA DE 2 Pulg. (PZAS.)', 0, 'Pza.'],</v>
      </c>
    </row>
    <row r="166" spans="1:28" s="1" customFormat="1" ht="28.8" x14ac:dyDescent="0.3">
      <c r="A166" s="73">
        <v>160</v>
      </c>
      <c r="B166" s="11" t="s">
        <v>178</v>
      </c>
      <c r="C166" s="11" t="s">
        <v>178</v>
      </c>
      <c r="D166" s="81" t="s">
        <v>470</v>
      </c>
      <c r="E166" s="37" t="s">
        <v>31</v>
      </c>
      <c r="F166" s="95" t="s">
        <v>853</v>
      </c>
      <c r="G166" s="95">
        <v>20</v>
      </c>
      <c r="H166" s="96" t="s">
        <v>854</v>
      </c>
      <c r="I166" s="96">
        <v>22</v>
      </c>
      <c r="J166" s="96" t="s">
        <v>855</v>
      </c>
      <c r="K166" s="96">
        <v>23</v>
      </c>
      <c r="L166" s="17" t="s">
        <v>299</v>
      </c>
      <c r="M166" s="38" t="s">
        <v>1430</v>
      </c>
      <c r="N166" s="38" t="s">
        <v>1430</v>
      </c>
      <c r="O166" s="38" t="s">
        <v>1430</v>
      </c>
      <c r="P166" s="38" t="s">
        <v>1430</v>
      </c>
      <c r="Q166" s="38" t="s">
        <v>1430</v>
      </c>
      <c r="R166" s="38" t="s">
        <v>1430</v>
      </c>
      <c r="S166" s="38" t="s">
        <v>1430</v>
      </c>
      <c r="T166" s="38" t="s">
        <v>1430</v>
      </c>
      <c r="U166" s="1" t="s">
        <v>1253</v>
      </c>
      <c r="V166" s="6" t="s">
        <v>1590</v>
      </c>
      <c r="W166" s="18" t="str">
        <f t="shared" si="6"/>
        <v xml:space="preserve">['A73', 'A73', 'MANO DE OBRA BOX DE BANO RECTO', 'Mt²', 21.2, 20, 24.16, 22, 25.26, 23, 'Box de  bano recto - cbba -  -  - santa puej -  - ', 0.00, 0.00, 0.00, 0.00, 0.00, 0.00, 0.00, 0.00], </v>
      </c>
      <c r="X166" s="18"/>
      <c r="AB166" s="1" t="str">
        <f t="shared" si="5"/>
        <v>['A73', 'A73', 'MANO DE OBRA BOX DE BANO RECTO', 0, 'Mt²'],</v>
      </c>
    </row>
    <row r="167" spans="1:28" s="1" customFormat="1" ht="28.8" x14ac:dyDescent="0.3">
      <c r="A167" s="73">
        <v>161</v>
      </c>
      <c r="B167" s="11" t="s">
        <v>179</v>
      </c>
      <c r="C167" s="11" t="s">
        <v>179</v>
      </c>
      <c r="D167" s="81" t="s">
        <v>471</v>
      </c>
      <c r="E167" s="37" t="s">
        <v>31</v>
      </c>
      <c r="F167" s="95" t="s">
        <v>888</v>
      </c>
      <c r="G167" s="95">
        <v>30</v>
      </c>
      <c r="H167" s="96" t="s">
        <v>889</v>
      </c>
      <c r="I167" s="96">
        <v>33</v>
      </c>
      <c r="J167" s="96" t="s">
        <v>890</v>
      </c>
      <c r="K167" s="96" t="s">
        <v>1080</v>
      </c>
      <c r="L167" s="17" t="s">
        <v>300</v>
      </c>
      <c r="M167" s="38" t="s">
        <v>1430</v>
      </c>
      <c r="N167" s="38" t="s">
        <v>1430</v>
      </c>
      <c r="O167" s="38" t="s">
        <v>1430</v>
      </c>
      <c r="P167" s="38" t="s">
        <v>1430</v>
      </c>
      <c r="Q167" s="38" t="s">
        <v>1430</v>
      </c>
      <c r="R167" s="38" t="s">
        <v>1430</v>
      </c>
      <c r="S167" s="38" t="s">
        <v>1430</v>
      </c>
      <c r="T167" s="38" t="s">
        <v>1430</v>
      </c>
      <c r="U167" s="1" t="s">
        <v>1254</v>
      </c>
      <c r="V167" s="6" t="s">
        <v>1591</v>
      </c>
      <c r="W167" s="18" t="str">
        <f t="shared" si="6"/>
        <v xml:space="preserve">['A74', 'A74', 'MANO DE OBRA BOX DE BANO CURVO', 'Mt²', 31.8, 30, 36.23, 33, 37.88, 34.5, 'Box de  bano curvo - cbba -  -  - santa puej -  - ', 0.00, 0.00, 0.00, 0.00, 0.00, 0.00, 0.00, 0.00], </v>
      </c>
      <c r="X167" s="18"/>
      <c r="AB167" s="1" t="str">
        <f t="shared" si="5"/>
        <v>['A74', 'A74', 'MANO DE OBRA BOX DE BANO CURVO', 0, 'Mt²'],</v>
      </c>
    </row>
    <row r="168" spans="1:28" s="1" customFormat="1" ht="28.8" x14ac:dyDescent="0.3">
      <c r="A168" s="73">
        <v>162</v>
      </c>
      <c r="B168" s="11" t="s">
        <v>180</v>
      </c>
      <c r="C168" s="11" t="s">
        <v>180</v>
      </c>
      <c r="D168" s="81" t="s">
        <v>472</v>
      </c>
      <c r="E168" s="37" t="s">
        <v>31</v>
      </c>
      <c r="F168" s="95" t="s">
        <v>891</v>
      </c>
      <c r="G168" s="95">
        <v>15</v>
      </c>
      <c r="H168" s="96" t="s">
        <v>892</v>
      </c>
      <c r="I168" s="96" t="s">
        <v>893</v>
      </c>
      <c r="J168" s="96" t="s">
        <v>894</v>
      </c>
      <c r="K168" s="96" t="s">
        <v>1081</v>
      </c>
      <c r="L168" s="17" t="s">
        <v>301</v>
      </c>
      <c r="M168" s="38" t="s">
        <v>1430</v>
      </c>
      <c r="N168" s="38" t="s">
        <v>1430</v>
      </c>
      <c r="O168" s="38" t="s">
        <v>1430</v>
      </c>
      <c r="P168" s="38" t="s">
        <v>1430</v>
      </c>
      <c r="Q168" s="38" t="s">
        <v>1430</v>
      </c>
      <c r="R168" s="38" t="s">
        <v>1430</v>
      </c>
      <c r="S168" s="38" t="s">
        <v>1430</v>
      </c>
      <c r="T168" s="38" t="s">
        <v>1430</v>
      </c>
      <c r="U168" s="1" t="s">
        <v>1255</v>
      </c>
      <c r="V168" s="6" t="s">
        <v>1592</v>
      </c>
      <c r="W168" s="18" t="str">
        <f t="shared" si="6"/>
        <v xml:space="preserve">['A75', 'A75', 'MANO DE OBRA FACHADA ESTRUCTURAL PEQUE', 'Mt²', 15.9, 15, 18.12, 16.5, 18.94, 17.25, 'Fachada estructural pequena - cbba -  -  - santa puej -  - ', 0.00, 0.00, 0.00, 0.00, 0.00, 0.00, 0.00, 0.00], </v>
      </c>
      <c r="X168" s="18"/>
      <c r="AB168" s="1" t="str">
        <f t="shared" si="5"/>
        <v>['A75', 'A75', 'MANO DE OBRA FACHADA ESTRUCTURAL PEQUE', 0, 'Mt²'],</v>
      </c>
    </row>
    <row r="169" spans="1:28" s="1" customFormat="1" ht="28.8" x14ac:dyDescent="0.3">
      <c r="A169" s="73">
        <v>163</v>
      </c>
      <c r="B169" s="11" t="s">
        <v>181</v>
      </c>
      <c r="C169" s="11" t="s">
        <v>181</v>
      </c>
      <c r="D169" s="81" t="s">
        <v>473</v>
      </c>
      <c r="E169" s="37" t="s">
        <v>31</v>
      </c>
      <c r="F169" s="95" t="s">
        <v>853</v>
      </c>
      <c r="G169" s="95">
        <v>20</v>
      </c>
      <c r="H169" s="96" t="s">
        <v>854</v>
      </c>
      <c r="I169" s="96">
        <v>22</v>
      </c>
      <c r="J169" s="96" t="s">
        <v>855</v>
      </c>
      <c r="K169" s="96">
        <v>23</v>
      </c>
      <c r="L169" s="17" t="s">
        <v>302</v>
      </c>
      <c r="M169" s="38" t="s">
        <v>1430</v>
      </c>
      <c r="N169" s="38" t="s">
        <v>1430</v>
      </c>
      <c r="O169" s="38" t="s">
        <v>1430</v>
      </c>
      <c r="P169" s="38" t="s">
        <v>1430</v>
      </c>
      <c r="Q169" s="38" t="s">
        <v>1430</v>
      </c>
      <c r="R169" s="38" t="s">
        <v>1430</v>
      </c>
      <c r="S169" s="38" t="s">
        <v>1430</v>
      </c>
      <c r="T169" s="38" t="s">
        <v>1430</v>
      </c>
      <c r="U169" s="1" t="s">
        <v>1256</v>
      </c>
      <c r="V169" s="6" t="s">
        <v>1593</v>
      </c>
      <c r="W169" s="18" t="str">
        <f t="shared" si="6"/>
        <v xml:space="preserve">['A76', 'A76', 'MANO DE OBRA FACHADA ESTRUCTURAL GRANDE', 'Mt²', 21.2, 20, 24.16, 22, 25.26, 23, 'Fachada estructural alta - cbba -  -  - santa puej -  - ', 0.00, 0.00, 0.00, 0.00, 0.00, 0.00, 0.00, 0.00], </v>
      </c>
      <c r="X169" s="18"/>
      <c r="AB169" s="1" t="str">
        <f t="shared" si="5"/>
        <v>['A76', 'A76', 'MANO DE OBRA FACHADA ESTRUCTURAL GRANDE', 0, 'Mt²'],</v>
      </c>
    </row>
    <row r="170" spans="1:28" s="1" customFormat="1" ht="28.8" x14ac:dyDescent="0.3">
      <c r="A170" s="73">
        <v>164</v>
      </c>
      <c r="B170" s="11" t="s">
        <v>182</v>
      </c>
      <c r="C170" s="11" t="s">
        <v>182</v>
      </c>
      <c r="D170" s="81" t="s">
        <v>474</v>
      </c>
      <c r="E170" s="37" t="s">
        <v>31</v>
      </c>
      <c r="F170" s="95" t="s">
        <v>895</v>
      </c>
      <c r="G170" s="95">
        <v>14</v>
      </c>
      <c r="H170" s="96" t="s">
        <v>896</v>
      </c>
      <c r="I170" s="96" t="s">
        <v>897</v>
      </c>
      <c r="J170" s="96" t="s">
        <v>898</v>
      </c>
      <c r="K170" s="96" t="s">
        <v>1082</v>
      </c>
      <c r="L170" s="17" t="s">
        <v>303</v>
      </c>
      <c r="M170" s="38" t="s">
        <v>1430</v>
      </c>
      <c r="N170" s="38" t="s">
        <v>1430</v>
      </c>
      <c r="O170" s="38" t="s">
        <v>1430</v>
      </c>
      <c r="P170" s="38" t="s">
        <v>1430</v>
      </c>
      <c r="Q170" s="38" t="s">
        <v>1430</v>
      </c>
      <c r="R170" s="38" t="s">
        <v>1430</v>
      </c>
      <c r="S170" s="38" t="s">
        <v>1430</v>
      </c>
      <c r="T170" s="38" t="s">
        <v>1430</v>
      </c>
      <c r="U170" s="1" t="s">
        <v>1257</v>
      </c>
      <c r="V170" s="6" t="s">
        <v>1594</v>
      </c>
      <c r="W170" s="18" t="str">
        <f t="shared" si="6"/>
        <v xml:space="preserve">['A77', 'A77', 'MANO DE OBRA CARPINTERIA DE ALUMINIO CON TERMOPANEL', 'Mt²', 14.84, 14, 16.91, 15.4, 17.68, 16.1, 'Termopanel - cbba -  -  - santa puej -  - ', 0.00, 0.00, 0.00, 0.00, 0.00, 0.00, 0.00, 0.00], </v>
      </c>
      <c r="X170" s="18"/>
      <c r="AB170" s="1" t="str">
        <f t="shared" si="5"/>
        <v>['A77', 'A77', 'MANO DE OBRA CARPINTERIA DE ALUMINIO CON TERMOPANEL', 0, 'Mt²'],</v>
      </c>
    </row>
    <row r="171" spans="1:28" s="26" customFormat="1" ht="28.8" x14ac:dyDescent="0.3">
      <c r="A171" s="73">
        <v>165</v>
      </c>
      <c r="B171" s="11" t="s">
        <v>183</v>
      </c>
      <c r="C171" s="11" t="s">
        <v>183</v>
      </c>
      <c r="D171" s="84" t="s">
        <v>475</v>
      </c>
      <c r="E171" s="37" t="s">
        <v>24</v>
      </c>
      <c r="F171" s="95" t="s">
        <v>899</v>
      </c>
      <c r="G171" s="95">
        <v>7</v>
      </c>
      <c r="H171" s="96" t="s">
        <v>900</v>
      </c>
      <c r="I171" s="96" t="s">
        <v>901</v>
      </c>
      <c r="J171" s="96" t="s">
        <v>902</v>
      </c>
      <c r="K171" s="96" t="s">
        <v>1083</v>
      </c>
      <c r="L171" s="17" t="s">
        <v>273</v>
      </c>
      <c r="M171" s="38" t="s">
        <v>1430</v>
      </c>
      <c r="N171" s="38" t="s">
        <v>1430</v>
      </c>
      <c r="O171" s="38" t="s">
        <v>1430</v>
      </c>
      <c r="P171" s="38" t="s">
        <v>1430</v>
      </c>
      <c r="Q171" s="38" t="s">
        <v>1430</v>
      </c>
      <c r="R171" s="38" t="s">
        <v>1430</v>
      </c>
      <c r="S171" s="38" t="s">
        <v>1430</v>
      </c>
      <c r="T171" s="38" t="s">
        <v>1430</v>
      </c>
      <c r="U171" s="1" t="s">
        <v>1258</v>
      </c>
      <c r="V171" s="6" t="s">
        <v>1595</v>
      </c>
      <c r="W171" s="18" t="str">
        <f t="shared" si="6"/>
        <v xml:space="preserve">['A78', 'A78', 'JALADORES PAR SERIE 25', 'Pza.', 7.42, 7, 8.46, 7.7, 8.84, 8.05, ' - cbba -  -  - santa puej -  - ', 0.00, 0.00, 0.00, 0.00, 0.00, 0.00, 0.00, 0.00], </v>
      </c>
      <c r="X171" s="18"/>
      <c r="AB171" s="1" t="str">
        <f t="shared" si="5"/>
        <v>['A78', 'A78', 'JALADORES PAR SERIE 25', 0, 'Pza.'],</v>
      </c>
    </row>
    <row r="172" spans="1:28" s="26" customFormat="1" ht="28.8" x14ac:dyDescent="0.3">
      <c r="A172" s="73">
        <v>166</v>
      </c>
      <c r="B172" s="11" t="s">
        <v>184</v>
      </c>
      <c r="C172" s="11" t="s">
        <v>184</v>
      </c>
      <c r="D172" s="85" t="s">
        <v>185</v>
      </c>
      <c r="E172" s="37" t="s">
        <v>31</v>
      </c>
      <c r="F172" s="95" t="s">
        <v>903</v>
      </c>
      <c r="G172" s="95" t="s">
        <v>903</v>
      </c>
      <c r="H172" s="96" t="s">
        <v>904</v>
      </c>
      <c r="I172" s="96" t="s">
        <v>905</v>
      </c>
      <c r="J172" s="96" t="s">
        <v>906</v>
      </c>
      <c r="K172" s="96" t="s">
        <v>1084</v>
      </c>
      <c r="L172" s="23" t="s">
        <v>304</v>
      </c>
      <c r="M172" s="38" t="s">
        <v>1430</v>
      </c>
      <c r="N172" s="38" t="s">
        <v>1430</v>
      </c>
      <c r="O172" s="38" t="s">
        <v>1430</v>
      </c>
      <c r="P172" s="38" t="s">
        <v>1430</v>
      </c>
      <c r="Q172" s="38" t="s">
        <v>1430</v>
      </c>
      <c r="R172" s="38" t="s">
        <v>1430</v>
      </c>
      <c r="S172" s="38" t="s">
        <v>1430</v>
      </c>
      <c r="T172" s="38" t="s">
        <v>1430</v>
      </c>
      <c r="U172" s="1" t="s">
        <v>1259</v>
      </c>
      <c r="V172" s="6" t="s">
        <v>1596</v>
      </c>
      <c r="W172" s="18" t="str">
        <f t="shared" si="6"/>
        <v xml:space="preserve">['A79', 'A79', 'ALUCOBOND - WILSTRONG ', 'Mt²', 42.6, 42.6, 48.54, 46.86, 50.74, 48.99, 'Tecnopor 35.50 + 20% - cbba -  -  - santa puej -  - ', 0.00, 0.00, 0.00, 0.00, 0.00, 0.00, 0.00, 0.00], </v>
      </c>
      <c r="X172" s="18"/>
      <c r="AB172" s="1" t="str">
        <f t="shared" si="5"/>
        <v>['A79', 'A79', 'ALUCOBOND - WILSTRONG ', 0, 'Mt²'],</v>
      </c>
    </row>
    <row r="173" spans="1:28" s="26" customFormat="1" ht="28.8" x14ac:dyDescent="0.3">
      <c r="A173" s="73">
        <v>167</v>
      </c>
      <c r="B173" s="11" t="s">
        <v>186</v>
      </c>
      <c r="C173" s="11" t="s">
        <v>186</v>
      </c>
      <c r="D173" s="83" t="s">
        <v>476</v>
      </c>
      <c r="E173" s="37" t="s">
        <v>31</v>
      </c>
      <c r="F173" s="95" t="s">
        <v>907</v>
      </c>
      <c r="G173" s="95" t="s">
        <v>907</v>
      </c>
      <c r="H173" s="96" t="s">
        <v>908</v>
      </c>
      <c r="I173" s="96" t="s">
        <v>909</v>
      </c>
      <c r="J173" s="96" t="s">
        <v>910</v>
      </c>
      <c r="K173" s="96" t="s">
        <v>1085</v>
      </c>
      <c r="L173" s="24" t="s">
        <v>305</v>
      </c>
      <c r="M173" s="38" t="s">
        <v>1430</v>
      </c>
      <c r="N173" s="38" t="s">
        <v>1430</v>
      </c>
      <c r="O173" s="38" t="s">
        <v>1430</v>
      </c>
      <c r="P173" s="38" t="s">
        <v>1430</v>
      </c>
      <c r="Q173" s="38" t="s">
        <v>1430</v>
      </c>
      <c r="R173" s="38" t="s">
        <v>1430</v>
      </c>
      <c r="S173" s="38" t="s">
        <v>1430</v>
      </c>
      <c r="T173" s="38" t="s">
        <v>1430</v>
      </c>
      <c r="U173" s="1" t="s">
        <v>1260</v>
      </c>
      <c r="V173" s="6" t="s">
        <v>1597</v>
      </c>
      <c r="W173" s="18" t="str">
        <f t="shared" si="6"/>
        <v xml:space="preserve">['A80', 'A80', 'VIDRIO LAMINADO REFLECTIVO GRIS 4+4MM', 'Mt²', 55.9, 55.9, 63.69, 61.49, 66.59, 64.29, 'CRIS LP 43 + 30% - cbba -  -  - santa puej -  - ', 0.00, 0.00, 0.00, 0.00, 0.00, 0.00, 0.00, 0.00], </v>
      </c>
      <c r="X173" s="18"/>
      <c r="AB173" s="1" t="str">
        <f t="shared" si="5"/>
        <v>['A80', 'A80', 'VIDRIO LAMINADO REFLECTIVO GRIS 4+4MM', 0, 'Mt²'],</v>
      </c>
    </row>
    <row r="174" spans="1:28" s="26" customFormat="1" ht="28.8" x14ac:dyDescent="0.3">
      <c r="A174" s="73">
        <v>168</v>
      </c>
      <c r="B174" s="11" t="s">
        <v>187</v>
      </c>
      <c r="C174" s="11" t="s">
        <v>187</v>
      </c>
      <c r="D174" s="83" t="s">
        <v>477</v>
      </c>
      <c r="E174" s="37" t="s">
        <v>31</v>
      </c>
      <c r="F174" s="95" t="s">
        <v>911</v>
      </c>
      <c r="G174" s="95" t="s">
        <v>911</v>
      </c>
      <c r="H174" s="96" t="s">
        <v>912</v>
      </c>
      <c r="I174" s="96" t="s">
        <v>913</v>
      </c>
      <c r="J174" s="96" t="s">
        <v>914</v>
      </c>
      <c r="K174" s="96" t="s">
        <v>1086</v>
      </c>
      <c r="L174" s="24" t="s">
        <v>306</v>
      </c>
      <c r="M174" s="38" t="s">
        <v>1430</v>
      </c>
      <c r="N174" s="38" t="s">
        <v>1430</v>
      </c>
      <c r="O174" s="38" t="s">
        <v>1430</v>
      </c>
      <c r="P174" s="38" t="s">
        <v>1430</v>
      </c>
      <c r="Q174" s="38" t="s">
        <v>1430</v>
      </c>
      <c r="R174" s="38" t="s">
        <v>1430</v>
      </c>
      <c r="S174" s="38" t="s">
        <v>1430</v>
      </c>
      <c r="T174" s="38" t="s">
        <v>1430</v>
      </c>
      <c r="U174" s="1" t="s">
        <v>1261</v>
      </c>
      <c r="V174" s="6" t="s">
        <v>1598</v>
      </c>
      <c r="W174" s="18" t="str">
        <f t="shared" si="6"/>
        <v xml:space="preserve">['A81', 'A81', 'VIDRIO LAMINADO REFLECTIVO AZUL 4+4MM', 'Mt²', 59.8, 59.8, 68.13, 65.78, 71.23, 68.77, 'CRIS LP 46 + 30% - cbba -  -  - santa puej -  - ', 0.00, 0.00, 0.00, 0.00, 0.00, 0.00, 0.00, 0.00], </v>
      </c>
      <c r="X174" s="18"/>
      <c r="AB174" s="1" t="str">
        <f t="shared" si="5"/>
        <v>['A81', 'A81', 'VIDRIO LAMINADO REFLECTIVO AZUL 4+4MM', 0, 'Mt²'],</v>
      </c>
    </row>
    <row r="175" spans="1:28" s="26" customFormat="1" ht="28.8" x14ac:dyDescent="0.3">
      <c r="A175" s="73">
        <v>169</v>
      </c>
      <c r="B175" s="11" t="s">
        <v>188</v>
      </c>
      <c r="C175" s="11" t="s">
        <v>188</v>
      </c>
      <c r="D175" s="83" t="s">
        <v>478</v>
      </c>
      <c r="E175" s="37" t="s">
        <v>31</v>
      </c>
      <c r="F175" s="95" t="s">
        <v>915</v>
      </c>
      <c r="G175" s="95" t="s">
        <v>915</v>
      </c>
      <c r="H175" s="96" t="s">
        <v>916</v>
      </c>
      <c r="I175" s="96" t="s">
        <v>917</v>
      </c>
      <c r="J175" s="96" t="s">
        <v>918</v>
      </c>
      <c r="K175" s="96" t="s">
        <v>1087</v>
      </c>
      <c r="L175" s="24" t="s">
        <v>307</v>
      </c>
      <c r="M175" s="38" t="s">
        <v>1430</v>
      </c>
      <c r="N175" s="38" t="s">
        <v>1430</v>
      </c>
      <c r="O175" s="38" t="s">
        <v>1430</v>
      </c>
      <c r="P175" s="38" t="s">
        <v>1430</v>
      </c>
      <c r="Q175" s="38" t="s">
        <v>1430</v>
      </c>
      <c r="R175" s="38" t="s">
        <v>1430</v>
      </c>
      <c r="S175" s="38" t="s">
        <v>1430</v>
      </c>
      <c r="T175" s="38" t="s">
        <v>1430</v>
      </c>
      <c r="U175" s="1" t="s">
        <v>1262</v>
      </c>
      <c r="V175" s="6" t="s">
        <v>1599</v>
      </c>
      <c r="W175" s="18" t="str">
        <f t="shared" si="6"/>
        <v xml:space="preserve">['A82', 'A82', 'VIDRIO LAMINADO INCOLORO 4+4MM', 'Mt²', 31.2, 31.2, 35.55, 34.32, 37.17, 35.88, 'CRIS LP 24 + 30% - cbba -  -  - santa puej -  - ', 0.00, 0.00, 0.00, 0.00, 0.00, 0.00, 0.00, 0.00], </v>
      </c>
      <c r="X175" s="18"/>
      <c r="AB175" s="1" t="str">
        <f t="shared" si="5"/>
        <v>['A82', 'A82', 'VIDRIO LAMINADO INCOLORO 4+4MM', 0, 'Mt²'],</v>
      </c>
    </row>
    <row r="176" spans="1:28" s="26" customFormat="1" ht="28.8" x14ac:dyDescent="0.3">
      <c r="A176" s="73">
        <v>170</v>
      </c>
      <c r="B176" s="11" t="s">
        <v>189</v>
      </c>
      <c r="C176" s="11" t="s">
        <v>189</v>
      </c>
      <c r="D176" s="84" t="s">
        <v>479</v>
      </c>
      <c r="E176" s="37" t="s">
        <v>24</v>
      </c>
      <c r="F176" s="95" t="s">
        <v>899</v>
      </c>
      <c r="G176" s="95">
        <v>7</v>
      </c>
      <c r="H176" s="96" t="s">
        <v>900</v>
      </c>
      <c r="I176" s="96" t="s">
        <v>901</v>
      </c>
      <c r="J176" s="96" t="s">
        <v>902</v>
      </c>
      <c r="K176" s="96" t="s">
        <v>1083</v>
      </c>
      <c r="L176" s="17" t="s">
        <v>273</v>
      </c>
      <c r="M176" s="38" t="s">
        <v>1430</v>
      </c>
      <c r="N176" s="38" t="s">
        <v>1430</v>
      </c>
      <c r="O176" s="38" t="s">
        <v>1430</v>
      </c>
      <c r="P176" s="38" t="s">
        <v>1430</v>
      </c>
      <c r="Q176" s="38" t="s">
        <v>1430</v>
      </c>
      <c r="R176" s="38" t="s">
        <v>1430</v>
      </c>
      <c r="S176" s="38" t="s">
        <v>1430</v>
      </c>
      <c r="T176" s="38" t="s">
        <v>1430</v>
      </c>
      <c r="U176" s="1" t="s">
        <v>1263</v>
      </c>
      <c r="V176" s="6" t="s">
        <v>1600</v>
      </c>
      <c r="W176" s="18" t="str">
        <f t="shared" si="6"/>
        <v xml:space="preserve">['A83', 'A83', 'PATIN SERIE 30 + RIEL SUP', 'Pza.', 7.42, 7, 8.46, 7.7, 8.84, 8.05, ' - cbba -  -  - santa puej -  - ', 0.00, 0.00, 0.00, 0.00, 0.00, 0.00, 0.00, 0.00], </v>
      </c>
      <c r="X176" s="18"/>
      <c r="AB176" s="1" t="str">
        <f t="shared" si="5"/>
        <v>['A83', 'A83', 'PATIN SERIE 30 + RIEL SUP', 0, 'Pza.'],</v>
      </c>
    </row>
    <row r="177" spans="1:28" s="26" customFormat="1" ht="28.8" x14ac:dyDescent="0.3">
      <c r="A177" s="73">
        <v>171</v>
      </c>
      <c r="B177" s="11" t="s">
        <v>190</v>
      </c>
      <c r="C177" s="11" t="s">
        <v>190</v>
      </c>
      <c r="D177" s="83" t="s">
        <v>480</v>
      </c>
      <c r="E177" s="37" t="s">
        <v>31</v>
      </c>
      <c r="F177" s="95">
        <v>12</v>
      </c>
      <c r="G177" s="95">
        <v>12</v>
      </c>
      <c r="H177" s="96" t="s">
        <v>885</v>
      </c>
      <c r="I177" s="96" t="s">
        <v>859</v>
      </c>
      <c r="J177" s="96" t="s">
        <v>789</v>
      </c>
      <c r="K177" s="96" t="s">
        <v>1073</v>
      </c>
      <c r="L177" s="24" t="s">
        <v>308</v>
      </c>
      <c r="M177" s="38" t="s">
        <v>1430</v>
      </c>
      <c r="N177" s="38" t="s">
        <v>1430</v>
      </c>
      <c r="O177" s="38" t="s">
        <v>1430</v>
      </c>
      <c r="P177" s="38" t="s">
        <v>1430</v>
      </c>
      <c r="Q177" s="38" t="s">
        <v>1430</v>
      </c>
      <c r="R177" s="38" t="s">
        <v>1430</v>
      </c>
      <c r="S177" s="38" t="s">
        <v>1430</v>
      </c>
      <c r="T177" s="38" t="s">
        <v>1430</v>
      </c>
      <c r="U177" s="1" t="s">
        <v>1264</v>
      </c>
      <c r="V177" s="6" t="s">
        <v>1601</v>
      </c>
      <c r="W177" s="18" t="str">
        <f t="shared" si="6"/>
        <v xml:space="preserve">['A84', 'A84', 'PANEL CIELO FALSO 122X61', 'Mt²', 12, 12, 13.68, 13.2, 14.3, 13.8, 'tecnopor  10 + 20% - cbba -  -  - santa puej -  - ', 0.00, 0.00, 0.00, 0.00, 0.00, 0.00, 0.00, 0.00], </v>
      </c>
      <c r="X177" s="18"/>
      <c r="AB177" s="1" t="str">
        <f t="shared" si="5"/>
        <v>['A84', 'A84', 'PANEL CIELO FALSO 122X61', 0, 'Mt²'],</v>
      </c>
    </row>
    <row r="178" spans="1:28" s="26" customFormat="1" ht="28.8" x14ac:dyDescent="0.3">
      <c r="A178" s="73">
        <v>172</v>
      </c>
      <c r="B178" s="11" t="s">
        <v>191</v>
      </c>
      <c r="C178" s="11" t="s">
        <v>191</v>
      </c>
      <c r="D178" s="83" t="s">
        <v>481</v>
      </c>
      <c r="E178" s="37" t="s">
        <v>31</v>
      </c>
      <c r="F178" s="95" t="s">
        <v>919</v>
      </c>
      <c r="G178" s="95" t="s">
        <v>919</v>
      </c>
      <c r="H178" s="96" t="s">
        <v>920</v>
      </c>
      <c r="I178" s="96" t="s">
        <v>921</v>
      </c>
      <c r="J178" s="96" t="s">
        <v>922</v>
      </c>
      <c r="K178" s="96" t="s">
        <v>833</v>
      </c>
      <c r="L178" s="24" t="s">
        <v>309</v>
      </c>
      <c r="M178" s="38" t="s">
        <v>1430</v>
      </c>
      <c r="N178" s="38" t="s">
        <v>1430</v>
      </c>
      <c r="O178" s="38" t="s">
        <v>1430</v>
      </c>
      <c r="P178" s="38" t="s">
        <v>1430</v>
      </c>
      <c r="Q178" s="38" t="s">
        <v>1430</v>
      </c>
      <c r="R178" s="38" t="s">
        <v>1430</v>
      </c>
      <c r="S178" s="38" t="s">
        <v>1430</v>
      </c>
      <c r="T178" s="38" t="s">
        <v>1430</v>
      </c>
      <c r="U178" s="1" t="s">
        <v>1265</v>
      </c>
      <c r="V178" s="6" t="s">
        <v>1602</v>
      </c>
      <c r="W178" s="18" t="str">
        <f t="shared" si="6"/>
        <v xml:space="preserve">['A85', 'A85', 'PANEL CIELO FALSO 61X61', 'Mt²', 14.4, 14.4, 16.41, 15.84, 17.16, 16.56, 'tecnopor  12 + 20% - cbba -  -  - santa puej -  - ', 0.00, 0.00, 0.00, 0.00, 0.00, 0.00, 0.00, 0.00], </v>
      </c>
      <c r="X178" s="18"/>
      <c r="AB178" s="1" t="str">
        <f t="shared" si="5"/>
        <v>['A85', 'A85', 'PANEL CIELO FALSO 61X61', 0, 'Mt²'],</v>
      </c>
    </row>
    <row r="179" spans="1:28" s="26" customFormat="1" ht="28.8" x14ac:dyDescent="0.3">
      <c r="A179" s="73">
        <v>173</v>
      </c>
      <c r="B179" s="11" t="s">
        <v>192</v>
      </c>
      <c r="C179" s="11" t="s">
        <v>192</v>
      </c>
      <c r="D179" s="83" t="s">
        <v>482</v>
      </c>
      <c r="E179" s="37" t="s">
        <v>104</v>
      </c>
      <c r="F179" s="95" t="s">
        <v>826</v>
      </c>
      <c r="G179" s="95" t="s">
        <v>826</v>
      </c>
      <c r="H179" s="96" t="s">
        <v>923</v>
      </c>
      <c r="I179" s="96" t="s">
        <v>924</v>
      </c>
      <c r="J179" s="96" t="s">
        <v>925</v>
      </c>
      <c r="K179" s="96" t="s">
        <v>1088</v>
      </c>
      <c r="L179" s="24" t="s">
        <v>310</v>
      </c>
      <c r="M179" s="38" t="s">
        <v>1430</v>
      </c>
      <c r="N179" s="38" t="s">
        <v>1430</v>
      </c>
      <c r="O179" s="38" t="s">
        <v>1430</v>
      </c>
      <c r="P179" s="38" t="s">
        <v>1430</v>
      </c>
      <c r="Q179" s="38" t="s">
        <v>1430</v>
      </c>
      <c r="R179" s="38" t="s">
        <v>1430</v>
      </c>
      <c r="S179" s="38" t="s">
        <v>1430</v>
      </c>
      <c r="T179" s="38" t="s">
        <v>1430</v>
      </c>
      <c r="U179" s="1" t="s">
        <v>1266</v>
      </c>
      <c r="V179" s="6" t="s">
        <v>1603</v>
      </c>
      <c r="W179" s="18" t="str">
        <f t="shared" si="6"/>
        <v xml:space="preserve">['A86', 'A86', 'ALAMBRE GALVANIZADO', 'Kgr.', 3.75, 3.75, 4.28, 4.13, 4.47, 4.32, 'Las Lomas ( 3+25% ) - cbba -  -  - santa puej -  - ', 0.00, 0.00, 0.00, 0.00, 0.00, 0.00, 0.00, 0.00], </v>
      </c>
      <c r="X179" s="18"/>
      <c r="AB179" s="1" t="str">
        <f t="shared" si="5"/>
        <v>['A86', 'A86', 'ALAMBRE GALVANIZADO', 0, 'Kgr.'],</v>
      </c>
    </row>
    <row r="180" spans="1:28" s="26" customFormat="1" ht="28.8" x14ac:dyDescent="0.3">
      <c r="A180" s="73">
        <v>174</v>
      </c>
      <c r="B180" s="11" t="s">
        <v>193</v>
      </c>
      <c r="C180" s="11" t="s">
        <v>193</v>
      </c>
      <c r="D180" s="83" t="s">
        <v>483</v>
      </c>
      <c r="E180" s="37" t="s">
        <v>31</v>
      </c>
      <c r="F180" s="95" t="s">
        <v>791</v>
      </c>
      <c r="G180" s="95" t="s">
        <v>791</v>
      </c>
      <c r="H180" s="96" t="s">
        <v>926</v>
      </c>
      <c r="I180" s="96" t="s">
        <v>927</v>
      </c>
      <c r="J180" s="96" t="s">
        <v>928</v>
      </c>
      <c r="K180" s="96" t="s">
        <v>1089</v>
      </c>
      <c r="L180" s="24" t="s">
        <v>311</v>
      </c>
      <c r="M180" s="38" t="s">
        <v>1430</v>
      </c>
      <c r="N180" s="38" t="s">
        <v>1430</v>
      </c>
      <c r="O180" s="38" t="s">
        <v>1430</v>
      </c>
      <c r="P180" s="38" t="s">
        <v>1430</v>
      </c>
      <c r="Q180" s="38" t="s">
        <v>1430</v>
      </c>
      <c r="R180" s="38" t="s">
        <v>1430</v>
      </c>
      <c r="S180" s="38" t="s">
        <v>1430</v>
      </c>
      <c r="T180" s="38" t="s">
        <v>1430</v>
      </c>
      <c r="U180" s="1" t="s">
        <v>1267</v>
      </c>
      <c r="V180" s="6" t="s">
        <v>1604</v>
      </c>
      <c r="W180" s="18" t="str">
        <f t="shared" si="6"/>
        <v xml:space="preserve">['A87', 'A87', 'ACRILICO', 'Mt²', 19.5, 19.5, 22.22, 21.45, 23.23, 22.43, 'CRIS LP 15 + 30% - cbba -  -  - santa puej -  - ', 0.00, 0.00, 0.00, 0.00, 0.00, 0.00, 0.00, 0.00], </v>
      </c>
      <c r="X180" s="18"/>
      <c r="AB180" s="1" t="str">
        <f t="shared" si="5"/>
        <v>['A87', 'A87', 'ACRILICO', 0, 'Mt²'],</v>
      </c>
    </row>
    <row r="181" spans="1:28" s="1" customFormat="1" ht="28.8" x14ac:dyDescent="0.3">
      <c r="A181" s="73">
        <v>175</v>
      </c>
      <c r="B181" s="11" t="s">
        <v>194</v>
      </c>
      <c r="C181" s="11" t="s">
        <v>194</v>
      </c>
      <c r="D181" s="83" t="s">
        <v>484</v>
      </c>
      <c r="E181" s="37" t="s">
        <v>31</v>
      </c>
      <c r="F181" s="95">
        <v>69</v>
      </c>
      <c r="G181" s="95">
        <v>69</v>
      </c>
      <c r="H181" s="96" t="s">
        <v>929</v>
      </c>
      <c r="I181" s="96" t="s">
        <v>930</v>
      </c>
      <c r="J181" s="96" t="s">
        <v>931</v>
      </c>
      <c r="K181" s="96" t="s">
        <v>1090</v>
      </c>
      <c r="L181" s="24" t="s">
        <v>312</v>
      </c>
      <c r="M181" s="38" t="s">
        <v>1430</v>
      </c>
      <c r="N181" s="38" t="s">
        <v>1430</v>
      </c>
      <c r="O181" s="38" t="s">
        <v>1430</v>
      </c>
      <c r="P181" s="38" t="s">
        <v>1430</v>
      </c>
      <c r="Q181" s="38" t="s">
        <v>1430</v>
      </c>
      <c r="R181" s="38" t="s">
        <v>1430</v>
      </c>
      <c r="S181" s="38" t="s">
        <v>1430</v>
      </c>
      <c r="T181" s="38" t="s">
        <v>1430</v>
      </c>
      <c r="U181" s="1" t="s">
        <v>1268</v>
      </c>
      <c r="V181" s="6" t="s">
        <v>1605</v>
      </c>
      <c r="W181" s="18" t="str">
        <f t="shared" si="6"/>
        <v xml:space="preserve">['A88', 'A88', 'VIDRIO LAMINADO REFLECTIVO BRONCE O GRIS 5+5 MM', 'Mt²', 69, 69, 78.62, 75.9, 82.19, 79.35, 'CLP 60 + 15% - cbba -  -  - santa puej -  - ', 0.00, 0.00, 0.00, 0.00, 0.00, 0.00, 0.00, 0.00], </v>
      </c>
      <c r="X181" s="18"/>
      <c r="AB181" s="1" t="str">
        <f t="shared" si="5"/>
        <v>['A88', 'A88', 'VIDRIO LAMINADO REFLECTIVO BRONCE O GRIS 5+5 MM', 0, 'Mt²'],</v>
      </c>
    </row>
    <row r="182" spans="1:28" s="26" customFormat="1" ht="28.8" x14ac:dyDescent="0.3">
      <c r="A182" s="73">
        <v>176</v>
      </c>
      <c r="B182" s="11" t="s">
        <v>195</v>
      </c>
      <c r="C182" s="11" t="s">
        <v>195</v>
      </c>
      <c r="D182" s="83" t="s">
        <v>485</v>
      </c>
      <c r="E182" s="37" t="s">
        <v>31</v>
      </c>
      <c r="F182" s="95" t="s">
        <v>979</v>
      </c>
      <c r="G182" s="95" t="s">
        <v>979</v>
      </c>
      <c r="H182" s="96" t="s">
        <v>932</v>
      </c>
      <c r="I182" s="96" t="s">
        <v>683</v>
      </c>
      <c r="J182" s="96" t="s">
        <v>933</v>
      </c>
      <c r="K182" s="96" t="s">
        <v>1091</v>
      </c>
      <c r="L182" s="24" t="s">
        <v>313</v>
      </c>
      <c r="M182" s="38" t="s">
        <v>1430</v>
      </c>
      <c r="N182" s="38" t="s">
        <v>1430</v>
      </c>
      <c r="O182" s="38" t="s">
        <v>1430</v>
      </c>
      <c r="P182" s="38" t="s">
        <v>1430</v>
      </c>
      <c r="Q182" s="38" t="s">
        <v>1430</v>
      </c>
      <c r="R182" s="38" t="s">
        <v>1430</v>
      </c>
      <c r="S182" s="38" t="s">
        <v>1430</v>
      </c>
      <c r="T182" s="38" t="s">
        <v>1430</v>
      </c>
      <c r="U182" s="1" t="s">
        <v>1269</v>
      </c>
      <c r="V182" s="6" t="s">
        <v>1606</v>
      </c>
      <c r="W182" s="18" t="str">
        <f t="shared" si="6"/>
        <v xml:space="preserve">['A89', 'A89', 'VIDRIO TERMOPANEL DVH INCOLORO 5+5MM + 7 X (2H+2B)', 'Mt²', 24.75, 24.75, 28.2, 27.23, 29.48, 28.47, 'ALVICRUZ = VID + (7xPERIM.) - cbba -  -  - santa puej -  - ', 0.00, 0.00, 0.00, 0.00, 0.00, 0.00, 0.00, 0.00], </v>
      </c>
      <c r="X182" s="18"/>
      <c r="AB182" s="1" t="str">
        <f t="shared" si="5"/>
        <v>['A89', 'A89', 'VIDRIO TERMOPANEL DVH INCOLORO 5+5MM + 7 X (2H+2B)', 0, 'Mt²'],</v>
      </c>
    </row>
    <row r="183" spans="1:28" s="26" customFormat="1" ht="28.8" x14ac:dyDescent="0.3">
      <c r="A183" s="73">
        <v>177</v>
      </c>
      <c r="B183" s="11" t="s">
        <v>196</v>
      </c>
      <c r="C183" s="11" t="s">
        <v>196</v>
      </c>
      <c r="D183" s="83" t="s">
        <v>486</v>
      </c>
      <c r="E183" s="37" t="s">
        <v>31</v>
      </c>
      <c r="F183" s="95" t="s">
        <v>980</v>
      </c>
      <c r="G183" s="95" t="s">
        <v>980</v>
      </c>
      <c r="H183" s="96" t="s">
        <v>934</v>
      </c>
      <c r="I183" s="96" t="s">
        <v>538</v>
      </c>
      <c r="J183" s="96" t="s">
        <v>1092</v>
      </c>
      <c r="K183" s="96" t="s">
        <v>1093</v>
      </c>
      <c r="L183" s="24" t="s">
        <v>1425</v>
      </c>
      <c r="M183" s="38" t="s">
        <v>1430</v>
      </c>
      <c r="N183" s="38" t="s">
        <v>1430</v>
      </c>
      <c r="O183" s="38" t="s">
        <v>1430</v>
      </c>
      <c r="P183" s="38" t="s">
        <v>1430</v>
      </c>
      <c r="Q183" s="38" t="s">
        <v>1430</v>
      </c>
      <c r="R183" s="38" t="s">
        <v>1430</v>
      </c>
      <c r="S183" s="38" t="s">
        <v>1430</v>
      </c>
      <c r="T183" s="38" t="s">
        <v>1430</v>
      </c>
      <c r="U183" s="1" t="s">
        <v>1270</v>
      </c>
      <c r="V183" s="6" t="s">
        <v>1607</v>
      </c>
      <c r="W183" s="18" t="str">
        <f t="shared" si="6"/>
        <v xml:space="preserve">['A90', 'A90', 'VIDRIO LAMINADO INCOLORO 3+3 MM', 'Mt²', 28.64, 28.64, 32.63, 31.5, 34.12, 32.94, 'ALVICRUZ    24.90 + 15% - cbba -  -  - santa puej -  - ', 0.00, 0.00, 0.00, 0.00, 0.00, 0.00, 0.00, 0.00], </v>
      </c>
      <c r="X183" s="18"/>
      <c r="AB183" s="1" t="str">
        <f t="shared" si="5"/>
        <v>['A90', 'A90', 'VIDRIO LAMINADO INCOLORO 3+3 MM', 0, 'Mt²'],</v>
      </c>
    </row>
    <row r="184" spans="1:28" s="26" customFormat="1" ht="28.8" x14ac:dyDescent="0.3">
      <c r="A184" s="73">
        <v>178</v>
      </c>
      <c r="B184" s="11" t="s">
        <v>197</v>
      </c>
      <c r="C184" s="11" t="s">
        <v>197</v>
      </c>
      <c r="D184" s="83" t="s">
        <v>487</v>
      </c>
      <c r="E184" s="37" t="s">
        <v>31</v>
      </c>
      <c r="F184" s="95" t="s">
        <v>981</v>
      </c>
      <c r="G184" s="95" t="s">
        <v>981</v>
      </c>
      <c r="H184" s="96" t="s">
        <v>935</v>
      </c>
      <c r="I184" s="96" t="s">
        <v>936</v>
      </c>
      <c r="J184" s="96" t="s">
        <v>937</v>
      </c>
      <c r="K184" s="96" t="s">
        <v>1094</v>
      </c>
      <c r="L184" s="24" t="s">
        <v>313</v>
      </c>
      <c r="M184" s="38" t="s">
        <v>1430</v>
      </c>
      <c r="N184" s="38" t="s">
        <v>1430</v>
      </c>
      <c r="O184" s="38" t="s">
        <v>1430</v>
      </c>
      <c r="P184" s="38" t="s">
        <v>1430</v>
      </c>
      <c r="Q184" s="38" t="s">
        <v>1430</v>
      </c>
      <c r="R184" s="38" t="s">
        <v>1430</v>
      </c>
      <c r="S184" s="38" t="s">
        <v>1430</v>
      </c>
      <c r="T184" s="38" t="s">
        <v>1430</v>
      </c>
      <c r="U184" s="1" t="s">
        <v>1271</v>
      </c>
      <c r="V184" s="6" t="s">
        <v>1608</v>
      </c>
      <c r="W184" s="18" t="str">
        <f t="shared" si="6"/>
        <v xml:space="preserve">['A91', 'A91', 'VIDRIO TERMOPANEL DVH INCOLORO 5+6(3+3)MM + 7 X (2H+2B)', 'Mt²', 41.01, 41.01, 46.73, 45.11, 48.85, 47.17, 'ALVICRUZ = VID + (7xPERIM.) - cbba -  -  - santa puej -  - ', 0.00, 0.00, 0.00, 0.00, 0.00, 0.00, 0.00, 0.00], </v>
      </c>
      <c r="X184" s="18"/>
      <c r="AB184" s="1" t="str">
        <f t="shared" si="5"/>
        <v>['A91', 'A91', 'VIDRIO TERMOPANEL DVH INCOLORO 5+6(3+3)MM + 7 X (2H+2B)', 0, 'Mt²'],</v>
      </c>
    </row>
    <row r="185" spans="1:28" s="26" customFormat="1" ht="28.8" x14ac:dyDescent="0.3">
      <c r="A185" s="73">
        <v>179</v>
      </c>
      <c r="B185" s="11" t="s">
        <v>198</v>
      </c>
      <c r="C185" s="11" t="s">
        <v>198</v>
      </c>
      <c r="D185" s="86" t="s">
        <v>488</v>
      </c>
      <c r="E185" s="37" t="s">
        <v>207</v>
      </c>
      <c r="F185" s="95" t="s">
        <v>982</v>
      </c>
      <c r="G185" s="95" t="s">
        <v>982</v>
      </c>
      <c r="H185" s="96" t="s">
        <v>938</v>
      </c>
      <c r="I185" s="96" t="s">
        <v>939</v>
      </c>
      <c r="J185" s="96" t="s">
        <v>1095</v>
      </c>
      <c r="K185" s="96" t="s">
        <v>1096</v>
      </c>
      <c r="L185" s="24" t="s">
        <v>1426</v>
      </c>
      <c r="M185" s="38" t="s">
        <v>1430</v>
      </c>
      <c r="N185" s="38" t="s">
        <v>1430</v>
      </c>
      <c r="O185" s="38" t="s">
        <v>1430</v>
      </c>
      <c r="P185" s="38" t="s">
        <v>1430</v>
      </c>
      <c r="Q185" s="38" t="s">
        <v>1430</v>
      </c>
      <c r="R185" s="38" t="s">
        <v>1430</v>
      </c>
      <c r="S185" s="38" t="s">
        <v>1430</v>
      </c>
      <c r="T185" s="38" t="s">
        <v>1430</v>
      </c>
      <c r="U185" s="1" t="s">
        <v>1272</v>
      </c>
      <c r="V185" s="6" t="s">
        <v>1609</v>
      </c>
      <c r="W185" s="18" t="str">
        <f t="shared" si="6"/>
        <v xml:space="preserve">['A92', 'A92', 'ALUMINIO  6001', 'Mt. Lin.', 6.39, 6.39, 7.28, 7.03, 7.62, 7.35, 'ALVICRUZ = 33.32 - cbba -  -  - santa puej - 5.55333333333333 - ', 0.00, 0.00, 0.00, 0.00, 0.00, 0.00, 0.00, 0.00], </v>
      </c>
      <c r="X185" s="18"/>
      <c r="AB185" s="1" t="str">
        <f t="shared" si="5"/>
        <v>['A92', 'A92', 'ALUMINIO  6001', 0, 'Mt. Lin.'],</v>
      </c>
    </row>
    <row r="186" spans="1:28" s="26" customFormat="1" ht="28.8" x14ac:dyDescent="0.3">
      <c r="A186" s="73">
        <v>180</v>
      </c>
      <c r="B186" s="11" t="s">
        <v>199</v>
      </c>
      <c r="C186" s="11" t="s">
        <v>199</v>
      </c>
      <c r="D186" s="87" t="s">
        <v>489</v>
      </c>
      <c r="E186" s="37" t="s">
        <v>207</v>
      </c>
      <c r="F186" s="95" t="s">
        <v>983</v>
      </c>
      <c r="G186" s="95" t="s">
        <v>983</v>
      </c>
      <c r="H186" s="96" t="s">
        <v>940</v>
      </c>
      <c r="I186" s="96" t="s">
        <v>688</v>
      </c>
      <c r="J186" s="96" t="s">
        <v>1097</v>
      </c>
      <c r="K186" s="96" t="s">
        <v>1098</v>
      </c>
      <c r="L186" s="24" t="s">
        <v>1427</v>
      </c>
      <c r="M186" s="38" t="s">
        <v>1430</v>
      </c>
      <c r="N186" s="38" t="s">
        <v>1430</v>
      </c>
      <c r="O186" s="38" t="s">
        <v>1430</v>
      </c>
      <c r="P186" s="38" t="s">
        <v>1430</v>
      </c>
      <c r="Q186" s="38" t="s">
        <v>1430</v>
      </c>
      <c r="R186" s="38" t="s">
        <v>1430</v>
      </c>
      <c r="S186" s="38" t="s">
        <v>1430</v>
      </c>
      <c r="T186" s="38" t="s">
        <v>1430</v>
      </c>
      <c r="U186" s="1" t="s">
        <v>1273</v>
      </c>
      <c r="V186" s="6" t="s">
        <v>1610</v>
      </c>
      <c r="W186" s="18" t="str">
        <f t="shared" si="6"/>
        <v xml:space="preserve">['A93', 'A93', 'ALUMINIO  6002', 'Mt. Lin.', 2.16, 2.16, 2.46, 2.37, 2.58, 2.49, 'ALVICRUZ = 11.22 - cbba -  -  - santa puej - 1.87 - ', 0.00, 0.00, 0.00, 0.00, 0.00, 0.00, 0.00, 0.00], </v>
      </c>
      <c r="X186" s="18"/>
      <c r="AB186" s="1" t="str">
        <f t="shared" si="5"/>
        <v>['A93', 'A93', 'ALUMINIO  6002', 0, 'Mt. Lin.'],</v>
      </c>
    </row>
    <row r="187" spans="1:28" s="26" customFormat="1" ht="28.8" x14ac:dyDescent="0.3">
      <c r="A187" s="73">
        <v>181</v>
      </c>
      <c r="B187" s="11" t="s">
        <v>200</v>
      </c>
      <c r="C187" s="11" t="s">
        <v>200</v>
      </c>
      <c r="D187" s="87" t="s">
        <v>490</v>
      </c>
      <c r="E187" s="37" t="s">
        <v>207</v>
      </c>
      <c r="F187" s="95" t="s">
        <v>984</v>
      </c>
      <c r="G187" s="95" t="s">
        <v>984</v>
      </c>
      <c r="H187" s="96" t="s">
        <v>670</v>
      </c>
      <c r="I187" s="96" t="s">
        <v>626</v>
      </c>
      <c r="J187" s="96" t="s">
        <v>1099</v>
      </c>
      <c r="K187" s="96" t="s">
        <v>1100</v>
      </c>
      <c r="L187" s="24" t="s">
        <v>1428</v>
      </c>
      <c r="M187" s="38" t="s">
        <v>1430</v>
      </c>
      <c r="N187" s="38" t="s">
        <v>1430</v>
      </c>
      <c r="O187" s="38" t="s">
        <v>1430</v>
      </c>
      <c r="P187" s="38" t="s">
        <v>1430</v>
      </c>
      <c r="Q187" s="38" t="s">
        <v>1430</v>
      </c>
      <c r="R187" s="38" t="s">
        <v>1430</v>
      </c>
      <c r="S187" s="38" t="s">
        <v>1430</v>
      </c>
      <c r="T187" s="38" t="s">
        <v>1430</v>
      </c>
      <c r="U187" s="1" t="s">
        <v>1274</v>
      </c>
      <c r="V187" s="6" t="s">
        <v>1611</v>
      </c>
      <c r="W187" s="18" t="str">
        <f t="shared" si="6"/>
        <v xml:space="preserve">['A94', 'A94', 'ALUMINIO  6004', 'Mt. Lin.', 4.98, 4.98, 5.67, 5.48, 5.94, 5.73, 'ALVICRUZ = 25.95 - cbba -  -  - santa puej - 4.325 - ', 0.00, 0.00, 0.00, 0.00, 0.00, 0.00, 0.00, 0.00], </v>
      </c>
      <c r="X187" s="18"/>
      <c r="AB187" s="1" t="str">
        <f t="shared" si="5"/>
        <v>['A94', 'A94', 'ALUMINIO  6004', 0, 'Mt. Lin.'],</v>
      </c>
    </row>
    <row r="188" spans="1:28" s="26" customFormat="1" ht="28.8" x14ac:dyDescent="0.3">
      <c r="A188" s="73">
        <v>182</v>
      </c>
      <c r="B188" s="11" t="s">
        <v>201</v>
      </c>
      <c r="C188" s="11" t="s">
        <v>201</v>
      </c>
      <c r="D188" s="87" t="s">
        <v>491</v>
      </c>
      <c r="E188" s="37" t="s">
        <v>207</v>
      </c>
      <c r="F188" s="95" t="s">
        <v>985</v>
      </c>
      <c r="G188" s="95" t="s">
        <v>985</v>
      </c>
      <c r="H188" s="96" t="s">
        <v>635</v>
      </c>
      <c r="I188" s="96" t="s">
        <v>942</v>
      </c>
      <c r="J188" s="96" t="s">
        <v>700</v>
      </c>
      <c r="K188" s="96" t="s">
        <v>1101</v>
      </c>
      <c r="L188" s="24" t="s">
        <v>1429</v>
      </c>
      <c r="M188" s="38" t="s">
        <v>1430</v>
      </c>
      <c r="N188" s="38" t="s">
        <v>1430</v>
      </c>
      <c r="O188" s="38" t="s">
        <v>1430</v>
      </c>
      <c r="P188" s="38" t="s">
        <v>1430</v>
      </c>
      <c r="Q188" s="38" t="s">
        <v>1430</v>
      </c>
      <c r="R188" s="38" t="s">
        <v>1430</v>
      </c>
      <c r="S188" s="38" t="s">
        <v>1430</v>
      </c>
      <c r="T188" s="38" t="s">
        <v>1430</v>
      </c>
      <c r="U188" s="1" t="s">
        <v>1275</v>
      </c>
      <c r="V188" s="6" t="s">
        <v>1612</v>
      </c>
      <c r="W188" s="18" t="str">
        <f t="shared" si="6"/>
        <v xml:space="preserve">['A95', 'A95', 'ALUMINIO  6005', 'Mt. Lin.', 3.09, 3.09, 3.53, 3.4, 3.69, 3.56, 'ALVICRUZ = 16.12 - cbba -  -  - santa puej - 2.68666666666667 - ', 0.00, 0.00, 0.00, 0.00, 0.00, 0.00, 0.00, 0.00], </v>
      </c>
      <c r="X188" s="18"/>
      <c r="AB188" s="1" t="str">
        <f t="shared" si="5"/>
        <v>['A95', 'A95', 'ALUMINIO  6005', 0, 'Mt. Lin.'],</v>
      </c>
    </row>
    <row r="189" spans="1:28" s="26" customFormat="1" ht="28.8" x14ac:dyDescent="0.3">
      <c r="A189" s="73">
        <v>183</v>
      </c>
      <c r="B189" s="11" t="s">
        <v>202</v>
      </c>
      <c r="C189" s="11" t="s">
        <v>202</v>
      </c>
      <c r="D189" s="84" t="s">
        <v>492</v>
      </c>
      <c r="E189" s="37" t="s">
        <v>24</v>
      </c>
      <c r="F189" s="95">
        <v>16</v>
      </c>
      <c r="G189" s="95">
        <v>15</v>
      </c>
      <c r="H189" s="96" t="s">
        <v>944</v>
      </c>
      <c r="I189" s="96" t="s">
        <v>893</v>
      </c>
      <c r="J189" s="96" t="s">
        <v>945</v>
      </c>
      <c r="K189" s="96" t="s">
        <v>1081</v>
      </c>
      <c r="L189" s="24" t="s">
        <v>273</v>
      </c>
      <c r="M189" s="38" t="s">
        <v>1430</v>
      </c>
      <c r="N189" s="38" t="s">
        <v>1430</v>
      </c>
      <c r="O189" s="38" t="s">
        <v>1430</v>
      </c>
      <c r="P189" s="38" t="s">
        <v>1430</v>
      </c>
      <c r="Q189" s="38" t="s">
        <v>1430</v>
      </c>
      <c r="R189" s="38" t="s">
        <v>1430</v>
      </c>
      <c r="S189" s="38" t="s">
        <v>1430</v>
      </c>
      <c r="T189" s="38" t="s">
        <v>1430</v>
      </c>
      <c r="U189" s="1" t="s">
        <v>1276</v>
      </c>
      <c r="V189" s="6" t="s">
        <v>1613</v>
      </c>
      <c r="W189" s="18" t="str">
        <f t="shared" si="6"/>
        <v xml:space="preserve">['A96', 'A96', 'JALADORES PAR', 'Pza.', 16, 15, 18.23, 16.5, 19.06, 17.25, ' - cbba -  -  - santa puej -  - ', 0.00, 0.00, 0.00, 0.00, 0.00, 0.00, 0.00, 0.00], </v>
      </c>
      <c r="X189" s="18"/>
      <c r="AB189" s="1" t="str">
        <f t="shared" si="5"/>
        <v>['A96', 'A96', 'JALADORES PAR', 0, 'Pza.'],</v>
      </c>
    </row>
    <row r="190" spans="1:28" s="26" customFormat="1" ht="28.8" x14ac:dyDescent="0.3">
      <c r="A190" s="73">
        <v>184</v>
      </c>
      <c r="B190" s="11" t="s">
        <v>203</v>
      </c>
      <c r="C190" s="11" t="s">
        <v>203</v>
      </c>
      <c r="D190" s="84" t="s">
        <v>493</v>
      </c>
      <c r="E190" s="37" t="s">
        <v>24</v>
      </c>
      <c r="F190" s="95" t="s">
        <v>586</v>
      </c>
      <c r="G190" s="95" t="s">
        <v>586</v>
      </c>
      <c r="H190" s="96" t="s">
        <v>946</v>
      </c>
      <c r="I190" s="96" t="s">
        <v>947</v>
      </c>
      <c r="J190" s="96" t="s">
        <v>948</v>
      </c>
      <c r="K190" s="96" t="s">
        <v>970</v>
      </c>
      <c r="L190" s="24" t="s">
        <v>271</v>
      </c>
      <c r="M190" s="38" t="s">
        <v>1430</v>
      </c>
      <c r="N190" s="38" t="s">
        <v>1430</v>
      </c>
      <c r="O190" s="38" t="s">
        <v>1430</v>
      </c>
      <c r="P190" s="38" t="s">
        <v>1430</v>
      </c>
      <c r="Q190" s="38" t="s">
        <v>1430</v>
      </c>
      <c r="R190" s="38" t="s">
        <v>1430</v>
      </c>
      <c r="S190" s="38" t="s">
        <v>1430</v>
      </c>
      <c r="T190" s="38" t="s">
        <v>1430</v>
      </c>
      <c r="U190" s="1" t="s">
        <v>1277</v>
      </c>
      <c r="V190" s="6" t="s">
        <v>1614</v>
      </c>
      <c r="W190" s="18" t="str">
        <f t="shared" si="6"/>
        <v xml:space="preserve">['A97', 'A97', 'RODAMIENTO SERIE 60 ALVI', 'Pza.', 5.5, 5.5, 6.27, 6.05, 6.56, 6.33, 'ALVICRUZ - cbba -  -  - santa puej -  - ', 0.00, 0.00, 0.00, 0.00, 0.00, 0.00, 0.00, 0.00], </v>
      </c>
      <c r="X190" s="18"/>
      <c r="AB190" s="1" t="str">
        <f t="shared" si="5"/>
        <v>['A97', 'A97', 'RODAMIENTO SERIE 60 ALVI', 0, 'Pza.'],</v>
      </c>
    </row>
    <row r="191" spans="1:28" s="26" customFormat="1" ht="28.8" x14ac:dyDescent="0.3">
      <c r="A191" s="73">
        <v>185</v>
      </c>
      <c r="B191" s="11" t="s">
        <v>204</v>
      </c>
      <c r="C191" s="11" t="s">
        <v>204</v>
      </c>
      <c r="D191" s="84" t="s">
        <v>494</v>
      </c>
      <c r="E191" s="37" t="s">
        <v>24</v>
      </c>
      <c r="F191" s="95">
        <v>35</v>
      </c>
      <c r="G191" s="95">
        <v>35</v>
      </c>
      <c r="H191" s="96" t="s">
        <v>949</v>
      </c>
      <c r="I191" s="96" t="s">
        <v>950</v>
      </c>
      <c r="J191" s="96" t="s">
        <v>951</v>
      </c>
      <c r="K191" s="96" t="s">
        <v>1102</v>
      </c>
      <c r="L191" s="24" t="s">
        <v>271</v>
      </c>
      <c r="M191" s="38" t="s">
        <v>1430</v>
      </c>
      <c r="N191" s="38" t="s">
        <v>1430</v>
      </c>
      <c r="O191" s="38" t="s">
        <v>1430</v>
      </c>
      <c r="P191" s="38" t="s">
        <v>1430</v>
      </c>
      <c r="Q191" s="38" t="s">
        <v>1430</v>
      </c>
      <c r="R191" s="38" t="s">
        <v>1430</v>
      </c>
      <c r="S191" s="38" t="s">
        <v>1430</v>
      </c>
      <c r="T191" s="38" t="s">
        <v>1430</v>
      </c>
      <c r="U191" s="1" t="s">
        <v>1278</v>
      </c>
      <c r="V191" s="6" t="s">
        <v>1615</v>
      </c>
      <c r="W191" s="18" t="str">
        <f t="shared" si="6"/>
        <v xml:space="preserve">['A98', 'A98', 'MANIJA + KIT BIPUNTO SERIE 60 ALVI', 'Pza.', 35, 35, 39.88, 38.5, 41.69, 40.25, 'ALVICRUZ - cbba -  -  - santa puej -  - ', 0.00, 0.00, 0.00, 0.00, 0.00, 0.00, 0.00, 0.00], </v>
      </c>
      <c r="X191" s="18"/>
      <c r="AB191" s="1" t="str">
        <f t="shared" si="5"/>
        <v>['A98', 'A98', 'MANIJA + KIT BIPUNTO SERIE 60 ALVI', 0, 'Pza.'],</v>
      </c>
    </row>
    <row r="192" spans="1:28" s="26" customFormat="1" ht="28.8" x14ac:dyDescent="0.3">
      <c r="A192" s="73">
        <v>186</v>
      </c>
      <c r="B192" s="11" t="s">
        <v>205</v>
      </c>
      <c r="C192" s="11" t="s">
        <v>205</v>
      </c>
      <c r="D192" s="84" t="s">
        <v>1307</v>
      </c>
      <c r="E192" s="37" t="s">
        <v>24</v>
      </c>
      <c r="F192" s="95">
        <v>5</v>
      </c>
      <c r="G192" s="95">
        <v>5</v>
      </c>
      <c r="H192" s="96" t="s">
        <v>582</v>
      </c>
      <c r="I192" s="96" t="s">
        <v>586</v>
      </c>
      <c r="J192" s="96" t="s">
        <v>1010</v>
      </c>
      <c r="K192" s="96" t="s">
        <v>1011</v>
      </c>
      <c r="L192" s="24" t="s">
        <v>271</v>
      </c>
      <c r="M192" s="38" t="s">
        <v>1430</v>
      </c>
      <c r="N192" s="38" t="s">
        <v>1430</v>
      </c>
      <c r="O192" s="38" t="s">
        <v>1430</v>
      </c>
      <c r="P192" s="38" t="s">
        <v>1430</v>
      </c>
      <c r="Q192" s="38" t="s">
        <v>1430</v>
      </c>
      <c r="R192" s="38" t="s">
        <v>1430</v>
      </c>
      <c r="S192" s="38" t="s">
        <v>1430</v>
      </c>
      <c r="T192" s="38" t="s">
        <v>1430</v>
      </c>
      <c r="U192" s="1" t="s">
        <v>1278</v>
      </c>
      <c r="V192" s="6" t="s">
        <v>1616</v>
      </c>
      <c r="W192" s="18" t="str">
        <f t="shared" si="6"/>
        <v xml:space="preserve">['A99', 'A99', 'ESMERILADO', 'Pza.', 5, 5, 5.7, 5.5, 5.96, 5.75, 'ALVICRUZ - cbba -  -  - santa puej -  - ', 0.00, 0.00, 0.00, 0.00, 0.00, 0.00, 0.00, 0.00], </v>
      </c>
      <c r="X192" s="18"/>
      <c r="AB192" s="1" t="str">
        <f t="shared" ref="AB192:AB202" si="7">CONCATENATE("['",B192,"', '",C192,"', '",D192,"', ",0,", '",E192,"'],")</f>
        <v>['A99', 'A99', 'ESMERILADO', 0, 'Pza.'],</v>
      </c>
    </row>
    <row r="193" spans="1:28" s="26" customFormat="1" ht="28.8" x14ac:dyDescent="0.3">
      <c r="A193" s="73">
        <v>187</v>
      </c>
      <c r="B193" s="11" t="s">
        <v>206</v>
      </c>
      <c r="C193" s="11" t="s">
        <v>206</v>
      </c>
      <c r="D193" s="84" t="s">
        <v>1304</v>
      </c>
      <c r="E193" s="37" t="s">
        <v>24</v>
      </c>
      <c r="F193" s="95">
        <v>0</v>
      </c>
      <c r="G193" s="95">
        <v>0</v>
      </c>
      <c r="H193" s="96">
        <v>0</v>
      </c>
      <c r="I193" s="96">
        <v>0</v>
      </c>
      <c r="J193" s="96">
        <v>0</v>
      </c>
      <c r="K193" s="96">
        <v>0</v>
      </c>
      <c r="L193" s="24" t="s">
        <v>271</v>
      </c>
      <c r="M193" s="38" t="s">
        <v>1430</v>
      </c>
      <c r="N193" s="38" t="s">
        <v>1430</v>
      </c>
      <c r="O193" s="38" t="s">
        <v>1430</v>
      </c>
      <c r="P193" s="38" t="s">
        <v>1430</v>
      </c>
      <c r="Q193" s="38" t="s">
        <v>1430</v>
      </c>
      <c r="R193" s="38" t="s">
        <v>1430</v>
      </c>
      <c r="S193" s="38" t="s">
        <v>1430</v>
      </c>
      <c r="T193" s="38" t="s">
        <v>1430</v>
      </c>
      <c r="U193" s="1" t="s">
        <v>1278</v>
      </c>
      <c r="V193" s="6" t="s">
        <v>1617</v>
      </c>
      <c r="W193" s="18" t="str">
        <f t="shared" si="6"/>
        <v xml:space="preserve">['A100', 'A100', 'OTRO', 'Pza.', 0, 0, 0, 0, 0, 0, 'ALVICRUZ - cbba -  -  - santa puej -  - ', 0.00, 0.00, 0.00, 0.00, 0.00, 0.00, 0.00, 0.00], </v>
      </c>
      <c r="X193" s="18"/>
      <c r="AB193" s="1" t="str">
        <f t="shared" si="7"/>
        <v>['A100', 'A100', 'OTRO', 0, 'Pza.'],</v>
      </c>
    </row>
    <row r="194" spans="1:28" s="26" customFormat="1" ht="28.8" x14ac:dyDescent="0.3">
      <c r="A194" s="73">
        <v>188</v>
      </c>
      <c r="B194" s="11" t="s">
        <v>210</v>
      </c>
      <c r="C194" s="11" t="s">
        <v>210</v>
      </c>
      <c r="D194" s="84" t="s">
        <v>1304</v>
      </c>
      <c r="E194" s="37" t="s">
        <v>24</v>
      </c>
      <c r="F194" s="95">
        <v>0</v>
      </c>
      <c r="G194" s="95">
        <v>0</v>
      </c>
      <c r="H194" s="96">
        <v>0</v>
      </c>
      <c r="I194" s="96">
        <v>0</v>
      </c>
      <c r="J194" s="96">
        <v>0</v>
      </c>
      <c r="K194" s="96">
        <v>0</v>
      </c>
      <c r="L194" s="24" t="s">
        <v>271</v>
      </c>
      <c r="M194" s="38" t="s">
        <v>1430</v>
      </c>
      <c r="N194" s="38" t="s">
        <v>1430</v>
      </c>
      <c r="O194" s="38" t="s">
        <v>1430</v>
      </c>
      <c r="P194" s="38" t="s">
        <v>1430</v>
      </c>
      <c r="Q194" s="38" t="s">
        <v>1430</v>
      </c>
      <c r="R194" s="38" t="s">
        <v>1430</v>
      </c>
      <c r="S194" s="38" t="s">
        <v>1430</v>
      </c>
      <c r="T194" s="38" t="s">
        <v>1430</v>
      </c>
      <c r="U194" s="1" t="s">
        <v>1278</v>
      </c>
      <c r="V194" s="6" t="s">
        <v>1618</v>
      </c>
      <c r="W194" s="18" t="str">
        <f t="shared" si="6"/>
        <v xml:space="preserve">['A101', 'A101', 'OTRO', 'Pza.', 0, 0, 0, 0, 0, 0, 'ALVICRUZ - cbba -  -  - santa puej -  - ', 0.00, 0.00, 0.00, 0.00, 0.00, 0.00, 0.00, 0.00], </v>
      </c>
      <c r="X194" s="18"/>
      <c r="AB194" s="1" t="str">
        <f t="shared" si="7"/>
        <v>['A101', 'A101', 'OTRO', 0, 'Pza.'],</v>
      </c>
    </row>
    <row r="195" spans="1:28" s="26" customFormat="1" ht="28.8" x14ac:dyDescent="0.3">
      <c r="A195" s="73">
        <v>189</v>
      </c>
      <c r="B195" s="11" t="s">
        <v>211</v>
      </c>
      <c r="C195" s="11" t="s">
        <v>211</v>
      </c>
      <c r="D195" s="84" t="s">
        <v>1304</v>
      </c>
      <c r="E195" s="37" t="s">
        <v>24</v>
      </c>
      <c r="F195" s="95">
        <v>0</v>
      </c>
      <c r="G195" s="95">
        <v>0</v>
      </c>
      <c r="H195" s="96">
        <v>0</v>
      </c>
      <c r="I195" s="96">
        <v>0</v>
      </c>
      <c r="J195" s="96">
        <v>0</v>
      </c>
      <c r="K195" s="96">
        <v>0</v>
      </c>
      <c r="L195" s="24" t="s">
        <v>271</v>
      </c>
      <c r="M195" s="38" t="s">
        <v>1430</v>
      </c>
      <c r="N195" s="38" t="s">
        <v>1430</v>
      </c>
      <c r="O195" s="38" t="s">
        <v>1430</v>
      </c>
      <c r="P195" s="38" t="s">
        <v>1430</v>
      </c>
      <c r="Q195" s="38" t="s">
        <v>1430</v>
      </c>
      <c r="R195" s="38" t="s">
        <v>1430</v>
      </c>
      <c r="S195" s="38" t="s">
        <v>1430</v>
      </c>
      <c r="T195" s="38" t="s">
        <v>1430</v>
      </c>
      <c r="U195" s="1" t="s">
        <v>1278</v>
      </c>
      <c r="V195" s="6" t="s">
        <v>1619</v>
      </c>
      <c r="W195" s="18" t="str">
        <f t="shared" si="6"/>
        <v xml:space="preserve">['A102', 'A102', 'OTRO', 'Pza.', 0, 0, 0, 0, 0, 0, 'ALVICRUZ - cbba -  -  - santa puej -  - ', 0.00, 0.00, 0.00, 0.00, 0.00, 0.00, 0.00, 0.00], </v>
      </c>
      <c r="X195" s="18"/>
      <c r="AB195" s="1" t="str">
        <f t="shared" si="7"/>
        <v>['A102', 'A102', 'OTRO', 0, 'Pza.'],</v>
      </c>
    </row>
    <row r="196" spans="1:28" s="26" customFormat="1" ht="28.8" x14ac:dyDescent="0.3">
      <c r="A196" s="73">
        <v>190</v>
      </c>
      <c r="B196" s="11" t="s">
        <v>212</v>
      </c>
      <c r="C196" s="11" t="s">
        <v>212</v>
      </c>
      <c r="D196" s="84" t="s">
        <v>1304</v>
      </c>
      <c r="E196" s="37" t="s">
        <v>24</v>
      </c>
      <c r="F196" s="95">
        <v>0</v>
      </c>
      <c r="G196" s="95">
        <v>0</v>
      </c>
      <c r="H196" s="96">
        <v>0</v>
      </c>
      <c r="I196" s="96">
        <v>0</v>
      </c>
      <c r="J196" s="96">
        <v>0</v>
      </c>
      <c r="K196" s="96">
        <v>0</v>
      </c>
      <c r="L196" s="24" t="s">
        <v>271</v>
      </c>
      <c r="M196" s="38" t="s">
        <v>1430</v>
      </c>
      <c r="N196" s="38" t="s">
        <v>1430</v>
      </c>
      <c r="O196" s="38" t="s">
        <v>1430</v>
      </c>
      <c r="P196" s="38" t="s">
        <v>1430</v>
      </c>
      <c r="Q196" s="38" t="s">
        <v>1430</v>
      </c>
      <c r="R196" s="38" t="s">
        <v>1430</v>
      </c>
      <c r="S196" s="38" t="s">
        <v>1430</v>
      </c>
      <c r="T196" s="38" t="s">
        <v>1430</v>
      </c>
      <c r="U196" s="1" t="s">
        <v>1278</v>
      </c>
      <c r="V196" s="6" t="s">
        <v>1620</v>
      </c>
      <c r="W196" s="18" t="str">
        <f t="shared" si="6"/>
        <v xml:space="preserve">['A103', 'A103', 'OTRO', 'Pza.', 0, 0, 0, 0, 0, 0, 'ALVICRUZ - cbba -  -  - santa puej -  - ', 0.00, 0.00, 0.00, 0.00, 0.00, 0.00, 0.00, 0.00], </v>
      </c>
      <c r="X196" s="18"/>
      <c r="AB196" s="1" t="str">
        <f t="shared" si="7"/>
        <v>['A103', 'A103', 'OTRO', 0, 'Pza.'],</v>
      </c>
    </row>
    <row r="197" spans="1:28" s="26" customFormat="1" ht="28.8" x14ac:dyDescent="0.3">
      <c r="A197" s="73">
        <v>191</v>
      </c>
      <c r="B197" s="11" t="s">
        <v>213</v>
      </c>
      <c r="C197" s="11" t="s">
        <v>213</v>
      </c>
      <c r="D197" s="84" t="s">
        <v>1304</v>
      </c>
      <c r="E197" s="37" t="s">
        <v>24</v>
      </c>
      <c r="F197" s="95">
        <v>0</v>
      </c>
      <c r="G197" s="95">
        <v>0</v>
      </c>
      <c r="H197" s="96">
        <v>0</v>
      </c>
      <c r="I197" s="96">
        <v>0</v>
      </c>
      <c r="J197" s="96">
        <v>0</v>
      </c>
      <c r="K197" s="96">
        <v>0</v>
      </c>
      <c r="L197" s="24" t="s">
        <v>271</v>
      </c>
      <c r="M197" s="38" t="s">
        <v>1430</v>
      </c>
      <c r="N197" s="38" t="s">
        <v>1430</v>
      </c>
      <c r="O197" s="38" t="s">
        <v>1430</v>
      </c>
      <c r="P197" s="38" t="s">
        <v>1430</v>
      </c>
      <c r="Q197" s="38" t="s">
        <v>1430</v>
      </c>
      <c r="R197" s="38" t="s">
        <v>1430</v>
      </c>
      <c r="S197" s="38" t="s">
        <v>1430</v>
      </c>
      <c r="T197" s="38" t="s">
        <v>1430</v>
      </c>
      <c r="U197" s="1" t="s">
        <v>1278</v>
      </c>
      <c r="V197" s="6" t="s">
        <v>1621</v>
      </c>
      <c r="W197" s="18" t="str">
        <f t="shared" si="6"/>
        <v xml:space="preserve">['A104', 'A104', 'OTRO', 'Pza.', 0, 0, 0, 0, 0, 0, 'ALVICRUZ - cbba -  -  - santa puej -  - ', 0.00, 0.00, 0.00, 0.00, 0.00, 0.00, 0.00, 0.00], </v>
      </c>
      <c r="X197" s="18"/>
      <c r="AB197" s="1" t="str">
        <f t="shared" si="7"/>
        <v>['A104', 'A104', 'OTRO', 0, 'Pza.'],</v>
      </c>
    </row>
    <row r="198" spans="1:28" s="26" customFormat="1" ht="28.8" x14ac:dyDescent="0.3">
      <c r="A198" s="73">
        <v>192</v>
      </c>
      <c r="B198" s="11" t="s">
        <v>214</v>
      </c>
      <c r="C198" s="11" t="s">
        <v>214</v>
      </c>
      <c r="D198" s="84" t="s">
        <v>1304</v>
      </c>
      <c r="E198" s="37" t="s">
        <v>24</v>
      </c>
      <c r="F198" s="95">
        <v>0</v>
      </c>
      <c r="G198" s="95">
        <v>0</v>
      </c>
      <c r="H198" s="96">
        <v>0</v>
      </c>
      <c r="I198" s="96">
        <v>0</v>
      </c>
      <c r="J198" s="96">
        <v>0</v>
      </c>
      <c r="K198" s="96">
        <v>0</v>
      </c>
      <c r="L198" s="24" t="s">
        <v>271</v>
      </c>
      <c r="M198" s="38" t="s">
        <v>1430</v>
      </c>
      <c r="N198" s="38" t="s">
        <v>1430</v>
      </c>
      <c r="O198" s="38" t="s">
        <v>1430</v>
      </c>
      <c r="P198" s="38" t="s">
        <v>1430</v>
      </c>
      <c r="Q198" s="38" t="s">
        <v>1430</v>
      </c>
      <c r="R198" s="38" t="s">
        <v>1430</v>
      </c>
      <c r="S198" s="38" t="s">
        <v>1430</v>
      </c>
      <c r="T198" s="38" t="s">
        <v>1430</v>
      </c>
      <c r="U198" s="1" t="s">
        <v>1278</v>
      </c>
      <c r="V198" s="6" t="s">
        <v>1622</v>
      </c>
      <c r="W198" s="18" t="str">
        <f t="shared" si="6"/>
        <v xml:space="preserve">['A105', 'A105', 'OTRO', 'Pza.', 0, 0, 0, 0, 0, 0, 'ALVICRUZ - cbba -  -  - santa puej -  - ', 0.00, 0.00, 0.00, 0.00, 0.00, 0.00, 0.00, 0.00], </v>
      </c>
      <c r="X198" s="18"/>
      <c r="AB198" s="1" t="str">
        <f t="shared" si="7"/>
        <v>['A105', 'A105', 'OTRO', 0, 'Pza.'],</v>
      </c>
    </row>
    <row r="199" spans="1:28" s="26" customFormat="1" ht="28.8" x14ac:dyDescent="0.3">
      <c r="A199" s="73">
        <v>193</v>
      </c>
      <c r="B199" s="11" t="s">
        <v>215</v>
      </c>
      <c r="C199" s="11" t="s">
        <v>215</v>
      </c>
      <c r="D199" s="84" t="s">
        <v>1304</v>
      </c>
      <c r="E199" s="37" t="s">
        <v>24</v>
      </c>
      <c r="F199" s="95">
        <v>0</v>
      </c>
      <c r="G199" s="95">
        <v>0</v>
      </c>
      <c r="H199" s="96">
        <v>0</v>
      </c>
      <c r="I199" s="96">
        <v>0</v>
      </c>
      <c r="J199" s="96">
        <v>0</v>
      </c>
      <c r="K199" s="96">
        <v>0</v>
      </c>
      <c r="L199" s="24" t="s">
        <v>271</v>
      </c>
      <c r="M199" s="38" t="s">
        <v>1430</v>
      </c>
      <c r="N199" s="38" t="s">
        <v>1430</v>
      </c>
      <c r="O199" s="38" t="s">
        <v>1430</v>
      </c>
      <c r="P199" s="38" t="s">
        <v>1430</v>
      </c>
      <c r="Q199" s="38" t="s">
        <v>1430</v>
      </c>
      <c r="R199" s="38" t="s">
        <v>1430</v>
      </c>
      <c r="S199" s="38" t="s">
        <v>1430</v>
      </c>
      <c r="T199" s="38" t="s">
        <v>1430</v>
      </c>
      <c r="U199" s="1" t="s">
        <v>1278</v>
      </c>
      <c r="V199" s="6" t="s">
        <v>1623</v>
      </c>
      <c r="W199" s="18" t="str">
        <f t="shared" si="6"/>
        <v xml:space="preserve">['A106', 'A106', 'OTRO', 'Pza.', 0, 0, 0, 0, 0, 0, 'ALVICRUZ - cbba -  -  - santa puej -  - ', 0.00, 0.00, 0.00, 0.00, 0.00, 0.00, 0.00, 0.00], </v>
      </c>
      <c r="X199" s="18"/>
      <c r="AB199" s="1" t="str">
        <f t="shared" si="7"/>
        <v>['A106', 'A106', 'OTRO', 0, 'Pza.'],</v>
      </c>
    </row>
    <row r="200" spans="1:28" s="26" customFormat="1" ht="28.8" x14ac:dyDescent="0.3">
      <c r="A200" s="73">
        <v>194</v>
      </c>
      <c r="B200" s="11" t="s">
        <v>216</v>
      </c>
      <c r="C200" s="11" t="s">
        <v>216</v>
      </c>
      <c r="D200" s="84" t="s">
        <v>1304</v>
      </c>
      <c r="E200" s="37" t="s">
        <v>24</v>
      </c>
      <c r="F200" s="95">
        <v>0</v>
      </c>
      <c r="G200" s="95">
        <v>0</v>
      </c>
      <c r="H200" s="96">
        <v>0</v>
      </c>
      <c r="I200" s="96">
        <v>0</v>
      </c>
      <c r="J200" s="96">
        <v>0</v>
      </c>
      <c r="K200" s="96">
        <v>0</v>
      </c>
      <c r="L200" s="24" t="s">
        <v>271</v>
      </c>
      <c r="M200" s="38" t="s">
        <v>1430</v>
      </c>
      <c r="N200" s="38" t="s">
        <v>1430</v>
      </c>
      <c r="O200" s="38" t="s">
        <v>1430</v>
      </c>
      <c r="P200" s="38" t="s">
        <v>1430</v>
      </c>
      <c r="Q200" s="38" t="s">
        <v>1430</v>
      </c>
      <c r="R200" s="38" t="s">
        <v>1430</v>
      </c>
      <c r="S200" s="38" t="s">
        <v>1430</v>
      </c>
      <c r="T200" s="38" t="s">
        <v>1430</v>
      </c>
      <c r="U200" s="1" t="s">
        <v>1278</v>
      </c>
      <c r="V200" s="6" t="s">
        <v>1624</v>
      </c>
      <c r="W200" s="18" t="str">
        <f t="shared" ref="W200:W238" si="8">CONCATENATE("['",B200,"', '",C200,"', '",D200,"', '",E200,"', ",F200,", ",G200,", ",H200,", ",I200,", ",J200,", ",K200,", '",L200,"', ",M200,", ",N200,", ",O200,", ",P200,", ",Q200,", ",R200,", ",S200,", ",T200,"], ")</f>
        <v xml:space="preserve">['A107', 'A107', 'OTRO', 'Pza.', 0, 0, 0, 0, 0, 0, 'ALVICRUZ - cbba -  -  - santa puej -  - ', 0.00, 0.00, 0.00, 0.00, 0.00, 0.00, 0.00, 0.00], </v>
      </c>
      <c r="X200" s="18"/>
      <c r="AB200" s="1" t="str">
        <f t="shared" si="7"/>
        <v>['A107', 'A107', 'OTRO', 0, 'Pza.'],</v>
      </c>
    </row>
    <row r="201" spans="1:28" s="26" customFormat="1" ht="28.8" x14ac:dyDescent="0.3">
      <c r="A201" s="73">
        <v>195</v>
      </c>
      <c r="B201" s="11" t="s">
        <v>217</v>
      </c>
      <c r="C201" s="11" t="s">
        <v>217</v>
      </c>
      <c r="D201" s="84" t="s">
        <v>1304</v>
      </c>
      <c r="E201" s="37" t="s">
        <v>24</v>
      </c>
      <c r="F201" s="95">
        <v>0</v>
      </c>
      <c r="G201" s="95">
        <v>0</v>
      </c>
      <c r="H201" s="96">
        <v>0</v>
      </c>
      <c r="I201" s="96">
        <v>0</v>
      </c>
      <c r="J201" s="96">
        <v>0</v>
      </c>
      <c r="K201" s="96">
        <v>0</v>
      </c>
      <c r="L201" s="24" t="s">
        <v>271</v>
      </c>
      <c r="M201" s="38" t="s">
        <v>1430</v>
      </c>
      <c r="N201" s="38" t="s">
        <v>1430</v>
      </c>
      <c r="O201" s="38" t="s">
        <v>1430</v>
      </c>
      <c r="P201" s="38" t="s">
        <v>1430</v>
      </c>
      <c r="Q201" s="38" t="s">
        <v>1430</v>
      </c>
      <c r="R201" s="38" t="s">
        <v>1430</v>
      </c>
      <c r="S201" s="38" t="s">
        <v>1430</v>
      </c>
      <c r="T201" s="38" t="s">
        <v>1430</v>
      </c>
      <c r="U201" s="1" t="s">
        <v>1278</v>
      </c>
      <c r="V201" s="6" t="s">
        <v>1625</v>
      </c>
      <c r="W201" s="18" t="str">
        <f t="shared" si="8"/>
        <v xml:space="preserve">['A108', 'A108', 'OTRO', 'Pza.', 0, 0, 0, 0, 0, 0, 'ALVICRUZ - cbba -  -  - santa puej -  - ', 0.00, 0.00, 0.00, 0.00, 0.00, 0.00, 0.00, 0.00], </v>
      </c>
      <c r="X201" s="18"/>
      <c r="AB201" s="1" t="str">
        <f t="shared" si="7"/>
        <v>['A108', 'A108', 'OTRO', 0, 'Pza.'],</v>
      </c>
    </row>
    <row r="202" spans="1:28" ht="28.8" x14ac:dyDescent="0.3">
      <c r="A202" s="73">
        <v>196</v>
      </c>
      <c r="B202" s="74" t="s">
        <v>1363</v>
      </c>
      <c r="C202" s="74" t="s">
        <v>1363</v>
      </c>
      <c r="D202" s="88" t="s">
        <v>1362</v>
      </c>
      <c r="E202" s="75" t="s">
        <v>1348</v>
      </c>
      <c r="F202" s="95">
        <v>0</v>
      </c>
      <c r="G202" s="95">
        <v>0</v>
      </c>
      <c r="H202" s="95">
        <v>0</v>
      </c>
      <c r="I202" s="95">
        <v>0</v>
      </c>
      <c r="J202" s="95">
        <v>0</v>
      </c>
      <c r="K202" s="95">
        <v>0</v>
      </c>
      <c r="L202" s="75" t="s">
        <v>1686</v>
      </c>
      <c r="M202" s="92" t="s">
        <v>1430</v>
      </c>
      <c r="N202" s="92" t="s">
        <v>1430</v>
      </c>
      <c r="O202" s="92" t="s">
        <v>1430</v>
      </c>
      <c r="P202" s="92" t="s">
        <v>1430</v>
      </c>
      <c r="Q202" s="92" t="s">
        <v>1430</v>
      </c>
      <c r="R202" s="92" t="s">
        <v>1430</v>
      </c>
      <c r="S202" s="92" t="s">
        <v>1430</v>
      </c>
      <c r="T202" s="92" t="s">
        <v>1430</v>
      </c>
      <c r="V202" s="6" t="s">
        <v>1687</v>
      </c>
      <c r="W202" s="18" t="str">
        <f t="shared" ref="W202" si="9">CONCATENATE("['",B202,"', '",C202,"', '",D202,"', '",E202,"', ",F202,", ",G202,", ",H202,", ",I202,", ",J202,", ",K202,", '",L202,"', ",M202,", ",N202,", ",O202,", ",P202,", ",Q202,", ",R202,", ",S202,", ",T202,"], ")</f>
        <v xml:space="preserve">['TEC', 'TEC', 'TECNICO', 'obra', 0, 0, 0, 0, 0, 0, 'sin observaciones', 0.00, 0.00, 0.00, 0.00, 0.00, 0.00, 0.00, 0.00], </v>
      </c>
      <c r="AB202" s="1" t="str">
        <f t="shared" si="7"/>
        <v>['TEC', 'TEC', 'TECNICO', 0, 'obra'],</v>
      </c>
    </row>
    <row r="203" spans="1:28" ht="28.8" x14ac:dyDescent="0.3">
      <c r="A203" s="73">
        <v>197</v>
      </c>
      <c r="B203" s="74" t="s">
        <v>1284</v>
      </c>
      <c r="C203" s="74" t="s">
        <v>1284</v>
      </c>
      <c r="D203" s="88" t="s">
        <v>1290</v>
      </c>
      <c r="E203" s="75" t="s">
        <v>1348</v>
      </c>
      <c r="F203" s="95">
        <v>0</v>
      </c>
      <c r="G203" s="95">
        <v>0</v>
      </c>
      <c r="H203" s="95">
        <v>0</v>
      </c>
      <c r="I203" s="95">
        <v>0</v>
      </c>
      <c r="J203" s="95">
        <v>0</v>
      </c>
      <c r="K203" s="95">
        <v>0</v>
      </c>
      <c r="L203" s="75" t="s">
        <v>1686</v>
      </c>
      <c r="M203" s="92" t="s">
        <v>1430</v>
      </c>
      <c r="N203" s="92" t="s">
        <v>1430</v>
      </c>
      <c r="O203" s="92" t="s">
        <v>1430</v>
      </c>
      <c r="P203" s="92" t="s">
        <v>1430</v>
      </c>
      <c r="Q203" s="92" t="s">
        <v>1430</v>
      </c>
      <c r="R203" s="92" t="s">
        <v>1430</v>
      </c>
      <c r="S203" s="92" t="s">
        <v>1430</v>
      </c>
      <c r="T203" s="92" t="s">
        <v>1430</v>
      </c>
      <c r="V203" s="6" t="s">
        <v>1688</v>
      </c>
      <c r="W203" s="18" t="str">
        <f t="shared" si="8"/>
        <v xml:space="preserve">['OB', 'OB', 'OBRA  ', 'obra', 0, 0, 0, 0, 0, 0, 'sin observaciones', 0.00, 0.00, 0.00, 0.00, 0.00, 0.00, 0.00, 0.00], </v>
      </c>
      <c r="AB203" s="1" t="str">
        <f t="shared" si="5"/>
        <v>['OB', 'OB', 'OBRA  ', 0, 'obra'],</v>
      </c>
    </row>
    <row r="204" spans="1:28" ht="28.8" x14ac:dyDescent="0.3">
      <c r="A204" s="73">
        <v>198</v>
      </c>
      <c r="B204" s="74" t="s">
        <v>1285</v>
      </c>
      <c r="C204" s="74" t="s">
        <v>1285</v>
      </c>
      <c r="D204" s="88" t="s">
        <v>1345</v>
      </c>
      <c r="E204" s="75" t="s">
        <v>1349</v>
      </c>
      <c r="F204" s="95">
        <v>0</v>
      </c>
      <c r="G204" s="95">
        <v>0</v>
      </c>
      <c r="H204" s="95">
        <v>0</v>
      </c>
      <c r="I204" s="95">
        <v>0</v>
      </c>
      <c r="J204" s="95">
        <v>0</v>
      </c>
      <c r="K204" s="95">
        <v>0</v>
      </c>
      <c r="L204" s="75" t="s">
        <v>1686</v>
      </c>
      <c r="M204" s="92" t="s">
        <v>1430</v>
      </c>
      <c r="N204" s="92" t="s">
        <v>1430</v>
      </c>
      <c r="O204" s="92" t="s">
        <v>1430</v>
      </c>
      <c r="P204" s="92" t="s">
        <v>1430</v>
      </c>
      <c r="Q204" s="92" t="s">
        <v>1430</v>
      </c>
      <c r="R204" s="92" t="s">
        <v>1430</v>
      </c>
      <c r="S204" s="92" t="s">
        <v>1430</v>
      </c>
      <c r="T204" s="92" t="s">
        <v>1430</v>
      </c>
      <c r="V204" s="6" t="s">
        <v>1689</v>
      </c>
      <c r="W204" s="18" t="str">
        <f t="shared" si="8"/>
        <v xml:space="preserve">['CL', 'CL', 'CLIENTE  ', 'cliente', 0, 0, 0, 0, 0, 0, 'sin observaciones', 0.00, 0.00, 0.00, 0.00, 0.00, 0.00, 0.00, 0.00], </v>
      </c>
      <c r="AB204" s="1" t="str">
        <f t="shared" si="5"/>
        <v>['CL', 'CL', 'CLIENTE  ', 0, 'cliente'],</v>
      </c>
    </row>
    <row r="205" spans="1:28" ht="28.8" x14ac:dyDescent="0.3">
      <c r="A205" s="73">
        <v>199</v>
      </c>
      <c r="B205" s="74" t="s">
        <v>1286</v>
      </c>
      <c r="C205" s="74" t="s">
        <v>1286</v>
      </c>
      <c r="D205" s="88" t="s">
        <v>1291</v>
      </c>
      <c r="E205" s="75" t="s">
        <v>1350</v>
      </c>
      <c r="F205" s="95">
        <v>0</v>
      </c>
      <c r="G205" s="95">
        <v>0</v>
      </c>
      <c r="H205" s="95">
        <v>0</v>
      </c>
      <c r="I205" s="95">
        <v>0</v>
      </c>
      <c r="J205" s="95">
        <v>0</v>
      </c>
      <c r="K205" s="95">
        <v>0</v>
      </c>
      <c r="L205" s="75" t="s">
        <v>1686</v>
      </c>
      <c r="M205" s="92" t="s">
        <v>1430</v>
      </c>
      <c r="N205" s="92" t="s">
        <v>1430</v>
      </c>
      <c r="O205" s="92" t="s">
        <v>1430</v>
      </c>
      <c r="P205" s="92" t="s">
        <v>1430</v>
      </c>
      <c r="Q205" s="92" t="s">
        <v>1430</v>
      </c>
      <c r="R205" s="92" t="s">
        <v>1430</v>
      </c>
      <c r="S205" s="92" t="s">
        <v>1430</v>
      </c>
      <c r="T205" s="92" t="s">
        <v>1430</v>
      </c>
      <c r="V205" s="6" t="s">
        <v>1690</v>
      </c>
      <c r="W205" s="18" t="str">
        <f t="shared" si="8"/>
        <v xml:space="preserve">['TE', 'TE', 'TELEFONO  ', 'telefono', 0, 0, 0, 0, 0, 0, 'sin observaciones', 0.00, 0.00, 0.00, 0.00, 0.00, 0.00, 0.00, 0.00], </v>
      </c>
      <c r="AB205" s="1" t="str">
        <f t="shared" si="5"/>
        <v>['TE', 'TE', 'TELEFONO  ', 0, 'telefono'],</v>
      </c>
    </row>
    <row r="206" spans="1:28" ht="28.8" x14ac:dyDescent="0.3">
      <c r="A206" s="73">
        <v>200</v>
      </c>
      <c r="B206" s="74" t="s">
        <v>1287</v>
      </c>
      <c r="C206" s="74" t="s">
        <v>1287</v>
      </c>
      <c r="D206" s="88" t="s">
        <v>1292</v>
      </c>
      <c r="E206" s="75" t="s">
        <v>1351</v>
      </c>
      <c r="F206" s="95">
        <v>0</v>
      </c>
      <c r="G206" s="95">
        <v>0</v>
      </c>
      <c r="H206" s="95">
        <v>0</v>
      </c>
      <c r="I206" s="95">
        <v>0</v>
      </c>
      <c r="J206" s="95">
        <v>0</v>
      </c>
      <c r="K206" s="95">
        <v>0</v>
      </c>
      <c r="L206" s="75" t="s">
        <v>1686</v>
      </c>
      <c r="M206" s="92" t="s">
        <v>1430</v>
      </c>
      <c r="N206" s="92" t="s">
        <v>1430</v>
      </c>
      <c r="O206" s="92" t="s">
        <v>1430</v>
      </c>
      <c r="P206" s="92" t="s">
        <v>1430</v>
      </c>
      <c r="Q206" s="92" t="s">
        <v>1430</v>
      </c>
      <c r="R206" s="92" t="s">
        <v>1430</v>
      </c>
      <c r="S206" s="92" t="s">
        <v>1430</v>
      </c>
      <c r="T206" s="92" t="s">
        <v>1430</v>
      </c>
      <c r="V206" s="6" t="s">
        <v>1691</v>
      </c>
      <c r="W206" s="18" t="str">
        <f t="shared" si="8"/>
        <v xml:space="preserve">['DI', 'DI', 'DIRECCION  ', 'direccion', 0, 0, 0, 0, 0, 0, 'sin observaciones', 0.00, 0.00, 0.00, 0.00, 0.00, 0.00, 0.00, 0.00], </v>
      </c>
      <c r="AB206" s="1" t="str">
        <f t="shared" si="5"/>
        <v>['DI', 'DI', 'DIRECCION  ', 0, 'direccion'],</v>
      </c>
    </row>
    <row r="207" spans="1:28" ht="28.8" x14ac:dyDescent="0.3">
      <c r="A207" s="73">
        <v>201</v>
      </c>
      <c r="B207" s="74" t="s">
        <v>1288</v>
      </c>
      <c r="C207" s="74" t="s">
        <v>1288</v>
      </c>
      <c r="D207" s="88" t="s">
        <v>1293</v>
      </c>
      <c r="E207" s="75" t="s">
        <v>1352</v>
      </c>
      <c r="F207" s="95">
        <v>0</v>
      </c>
      <c r="G207" s="95">
        <v>0</v>
      </c>
      <c r="H207" s="95">
        <v>0</v>
      </c>
      <c r="I207" s="95">
        <v>0</v>
      </c>
      <c r="J207" s="95">
        <v>0</v>
      </c>
      <c r="K207" s="95">
        <v>0</v>
      </c>
      <c r="L207" s="75" t="s">
        <v>1686</v>
      </c>
      <c r="M207" s="92" t="s">
        <v>1430</v>
      </c>
      <c r="N207" s="92" t="s">
        <v>1430</v>
      </c>
      <c r="O207" s="92" t="s">
        <v>1430</v>
      </c>
      <c r="P207" s="92" t="s">
        <v>1430</v>
      </c>
      <c r="Q207" s="92" t="s">
        <v>1430</v>
      </c>
      <c r="R207" s="92" t="s">
        <v>1430</v>
      </c>
      <c r="S207" s="92" t="s">
        <v>1430</v>
      </c>
      <c r="T207" s="92" t="s">
        <v>1430</v>
      </c>
      <c r="V207" s="6" t="s">
        <v>1692</v>
      </c>
      <c r="W207" s="18" t="str">
        <f t="shared" si="8"/>
        <v xml:space="preserve">['CO', 'CO', 'CORREO  ', 'correo', 0, 0, 0, 0, 0, 0, 'sin observaciones', 0.00, 0.00, 0.00, 0.00, 0.00, 0.00, 0.00, 0.00], </v>
      </c>
      <c r="AB207" s="1" t="str">
        <f t="shared" si="5"/>
        <v>['CO', 'CO', 'CORREO  ', 0, 'correo'],</v>
      </c>
    </row>
    <row r="208" spans="1:28" ht="28.8" x14ac:dyDescent="0.3">
      <c r="A208" s="73">
        <v>202</v>
      </c>
      <c r="B208" s="74" t="s">
        <v>1289</v>
      </c>
      <c r="C208" s="74" t="s">
        <v>1289</v>
      </c>
      <c r="D208" s="88" t="s">
        <v>1294</v>
      </c>
      <c r="E208" s="75" t="s">
        <v>1353</v>
      </c>
      <c r="F208" s="95">
        <v>0</v>
      </c>
      <c r="G208" s="95">
        <v>0</v>
      </c>
      <c r="H208" s="95">
        <v>0</v>
      </c>
      <c r="I208" s="95">
        <v>0</v>
      </c>
      <c r="J208" s="95">
        <v>0</v>
      </c>
      <c r="K208" s="95">
        <v>0</v>
      </c>
      <c r="L208" s="75" t="s">
        <v>1686</v>
      </c>
      <c r="M208" s="92" t="s">
        <v>1430</v>
      </c>
      <c r="N208" s="92" t="s">
        <v>1430</v>
      </c>
      <c r="O208" s="92" t="s">
        <v>1430</v>
      </c>
      <c r="P208" s="92" t="s">
        <v>1430</v>
      </c>
      <c r="Q208" s="92" t="s">
        <v>1430</v>
      </c>
      <c r="R208" s="92" t="s">
        <v>1430</v>
      </c>
      <c r="S208" s="92" t="s">
        <v>1430</v>
      </c>
      <c r="T208" s="92" t="s">
        <v>1430</v>
      </c>
      <c r="V208" s="6" t="s">
        <v>1693</v>
      </c>
      <c r="W208" s="18" t="str">
        <f t="shared" si="8"/>
        <v xml:space="preserve">['OBS', 'OBS', 'OBSERVACIONES  ', 'observa', 0, 0, 0, 0, 0, 0, 'sin observaciones', 0.00, 0.00, 0.00, 0.00, 0.00, 0.00, 0.00, 0.00], </v>
      </c>
      <c r="AB208" s="1" t="str">
        <f t="shared" si="5"/>
        <v>['OBS', 'OBS', 'OBSERVACIONES  ', 0, 'observa'],</v>
      </c>
    </row>
    <row r="209" spans="1:23" ht="31.2" x14ac:dyDescent="0.3">
      <c r="A209" s="73">
        <v>203</v>
      </c>
      <c r="B209" s="74" t="s">
        <v>1333</v>
      </c>
      <c r="C209" s="74" t="s">
        <v>1333</v>
      </c>
      <c r="D209" s="88" t="s">
        <v>1295</v>
      </c>
      <c r="E209" s="37" t="s">
        <v>1302</v>
      </c>
      <c r="F209" s="95">
        <v>0</v>
      </c>
      <c r="G209" s="95">
        <v>0</v>
      </c>
      <c r="H209" s="96">
        <v>0</v>
      </c>
      <c r="I209" s="96">
        <v>0</v>
      </c>
      <c r="J209" s="96">
        <v>0</v>
      </c>
      <c r="K209" s="96">
        <v>0</v>
      </c>
      <c r="L209" s="58" t="s">
        <v>1303</v>
      </c>
      <c r="M209" s="38" t="s">
        <v>1430</v>
      </c>
      <c r="N209" s="38" t="s">
        <v>1430</v>
      </c>
      <c r="O209" s="38" t="s">
        <v>1430</v>
      </c>
      <c r="P209" s="38" t="s">
        <v>1430</v>
      </c>
      <c r="Q209" s="38" t="s">
        <v>1430</v>
      </c>
      <c r="R209" s="38" t="s">
        <v>1430</v>
      </c>
      <c r="S209" s="38" t="s">
        <v>1430</v>
      </c>
      <c r="T209" s="38" t="s">
        <v>1430</v>
      </c>
      <c r="V209" s="6" t="s">
        <v>1626</v>
      </c>
      <c r="W209" s="18" t="str">
        <f t="shared" si="8"/>
        <v xml:space="preserve">['PF8', 'PF8', 'PAÑOS FIJOS CON VIDRIO TEMPLADO INCOLORO DE 8 mm DE ESPESOR ', 'Pza(s).', 0, 0, 0, 0, 0, 0, 'Datos para proforma', 0.00, 0.00, 0.00, 0.00, 0.00, 0.00, 0.00, 0.00], </v>
      </c>
    </row>
    <row r="210" spans="1:23" ht="31.2" x14ac:dyDescent="0.3">
      <c r="A210" s="73">
        <v>204</v>
      </c>
      <c r="B210" s="74" t="s">
        <v>1334</v>
      </c>
      <c r="C210" s="74" t="s">
        <v>1334</v>
      </c>
      <c r="D210" s="88" t="s">
        <v>1296</v>
      </c>
      <c r="E210" s="37" t="s">
        <v>1302</v>
      </c>
      <c r="F210" s="95">
        <v>0</v>
      </c>
      <c r="G210" s="95">
        <v>0</v>
      </c>
      <c r="H210" s="96">
        <v>0</v>
      </c>
      <c r="I210" s="96">
        <v>0</v>
      </c>
      <c r="J210" s="96">
        <v>0</v>
      </c>
      <c r="K210" s="96">
        <v>0</v>
      </c>
      <c r="L210" s="58" t="s">
        <v>1303</v>
      </c>
      <c r="M210" s="38" t="s">
        <v>1430</v>
      </c>
      <c r="N210" s="38" t="s">
        <v>1430</v>
      </c>
      <c r="O210" s="38" t="s">
        <v>1430</v>
      </c>
      <c r="P210" s="38" t="s">
        <v>1430</v>
      </c>
      <c r="Q210" s="38" t="s">
        <v>1430</v>
      </c>
      <c r="R210" s="38" t="s">
        <v>1430</v>
      </c>
      <c r="S210" s="38" t="s">
        <v>1430</v>
      </c>
      <c r="T210" s="38" t="s">
        <v>1430</v>
      </c>
      <c r="V210" s="6" t="s">
        <v>1627</v>
      </c>
      <c r="W210" s="18" t="str">
        <f t="shared" si="8"/>
        <v xml:space="preserve">['PF8C', 'PF8C', 'PAÑOS FIJOS CON VIDRIO TEMPLADO COLOR DE 8 mm DE ESPESOR ', 'Pza(s).', 0, 0, 0, 0, 0, 0, 'Datos para proforma', 0.00, 0.00, 0.00, 0.00, 0.00, 0.00, 0.00, 0.00], </v>
      </c>
    </row>
    <row r="211" spans="1:23" ht="31.2" x14ac:dyDescent="0.3">
      <c r="A211" s="73">
        <v>205</v>
      </c>
      <c r="B211" s="74" t="s">
        <v>1335</v>
      </c>
      <c r="C211" s="74" t="s">
        <v>1335</v>
      </c>
      <c r="D211" s="88" t="s">
        <v>1297</v>
      </c>
      <c r="E211" s="37" t="s">
        <v>1302</v>
      </c>
      <c r="F211" s="95">
        <v>0</v>
      </c>
      <c r="G211" s="95">
        <v>0</v>
      </c>
      <c r="H211" s="96">
        <v>0</v>
      </c>
      <c r="I211" s="96">
        <v>0</v>
      </c>
      <c r="J211" s="96">
        <v>0</v>
      </c>
      <c r="K211" s="96">
        <v>0</v>
      </c>
      <c r="L211" s="58" t="s">
        <v>1303</v>
      </c>
      <c r="M211" s="38" t="s">
        <v>1430</v>
      </c>
      <c r="N211" s="38" t="s">
        <v>1430</v>
      </c>
      <c r="O211" s="38" t="s">
        <v>1430</v>
      </c>
      <c r="P211" s="38" t="s">
        <v>1430</v>
      </c>
      <c r="Q211" s="38" t="s">
        <v>1430</v>
      </c>
      <c r="R211" s="38" t="s">
        <v>1430</v>
      </c>
      <c r="S211" s="38" t="s">
        <v>1430</v>
      </c>
      <c r="T211" s="38" t="s">
        <v>1430</v>
      </c>
      <c r="V211" s="6" t="s">
        <v>1628</v>
      </c>
      <c r="W211" s="18" t="str">
        <f t="shared" si="8"/>
        <v xml:space="preserve">['PF10', 'PF10', 'PAÑOS FIJOS CON VIDRIO TEMPLADO INCOLORO DE 10 mm DE ESPESOR ', 'Pza(s).', 0, 0, 0, 0, 0, 0, 'Datos para proforma', 0.00, 0.00, 0.00, 0.00, 0.00, 0.00, 0.00, 0.00], </v>
      </c>
    </row>
    <row r="212" spans="1:23" ht="31.2" x14ac:dyDescent="0.3">
      <c r="A212" s="73">
        <v>206</v>
      </c>
      <c r="B212" s="74" t="s">
        <v>1336</v>
      </c>
      <c r="C212" s="74" t="s">
        <v>1336</v>
      </c>
      <c r="D212" s="88" t="s">
        <v>1298</v>
      </c>
      <c r="E212" s="37" t="s">
        <v>1302</v>
      </c>
      <c r="F212" s="95">
        <v>0</v>
      </c>
      <c r="G212" s="95">
        <v>0</v>
      </c>
      <c r="H212" s="96">
        <v>0</v>
      </c>
      <c r="I212" s="96">
        <v>0</v>
      </c>
      <c r="J212" s="96">
        <v>0</v>
      </c>
      <c r="K212" s="96">
        <v>0</v>
      </c>
      <c r="L212" s="58" t="s">
        <v>1303</v>
      </c>
      <c r="M212" s="38" t="s">
        <v>1430</v>
      </c>
      <c r="N212" s="38" t="s">
        <v>1430</v>
      </c>
      <c r="O212" s="38" t="s">
        <v>1430</v>
      </c>
      <c r="P212" s="38" t="s">
        <v>1430</v>
      </c>
      <c r="Q212" s="38" t="s">
        <v>1430</v>
      </c>
      <c r="R212" s="38" t="s">
        <v>1430</v>
      </c>
      <c r="S212" s="38" t="s">
        <v>1430</v>
      </c>
      <c r="T212" s="38" t="s">
        <v>1430</v>
      </c>
      <c r="V212" s="6" t="s">
        <v>1629</v>
      </c>
      <c r="W212" s="18" t="str">
        <f t="shared" si="8"/>
        <v xml:space="preserve">['PF10C', 'PF10C', ' PAÑOS FIJOS CON VIDRIO TEMPLADO COLOR DE 10 mm DE ESPESOR ', 'Pza(s).', 0, 0, 0, 0, 0, 0, 'Datos para proforma', 0.00, 0.00, 0.00, 0.00, 0.00, 0.00, 0.00, 0.00], </v>
      </c>
    </row>
    <row r="213" spans="1:23" ht="31.2" x14ac:dyDescent="0.3">
      <c r="A213" s="73">
        <v>207</v>
      </c>
      <c r="B213" s="74" t="s">
        <v>1358</v>
      </c>
      <c r="C213" s="74" t="s">
        <v>1358</v>
      </c>
      <c r="D213" s="88" t="s">
        <v>1360</v>
      </c>
      <c r="E213" s="37" t="s">
        <v>1302</v>
      </c>
      <c r="F213" s="95">
        <v>0</v>
      </c>
      <c r="G213" s="95">
        <v>0</v>
      </c>
      <c r="H213" s="96">
        <v>0</v>
      </c>
      <c r="I213" s="96">
        <v>0</v>
      </c>
      <c r="J213" s="96">
        <v>0</v>
      </c>
      <c r="K213" s="96">
        <v>0</v>
      </c>
      <c r="L213" s="58" t="s">
        <v>1303</v>
      </c>
      <c r="M213" s="38" t="s">
        <v>1430</v>
      </c>
      <c r="N213" s="38" t="s">
        <v>1430</v>
      </c>
      <c r="O213" s="38" t="s">
        <v>1430</v>
      </c>
      <c r="P213" s="38" t="s">
        <v>1430</v>
      </c>
      <c r="Q213" s="38" t="s">
        <v>1430</v>
      </c>
      <c r="R213" s="38" t="s">
        <v>1430</v>
      </c>
      <c r="S213" s="38" t="s">
        <v>1430</v>
      </c>
      <c r="T213" s="38" t="s">
        <v>1430</v>
      </c>
      <c r="V213" s="6" t="s">
        <v>1630</v>
      </c>
      <c r="W213" s="18" t="str">
        <f>CONCATENATE("['",B213,"', '",C213,"', '",D213,"', '",E213,"', ",F213,", ",G213,", ",H213,", ",I213,", ",J213,", ",K213,", '",L213,"', ",M213,", ",N213,", ",O213,", ",P213,", ",Q213,", ",R213,", ",S213,", ",T213,"], ")</f>
        <v xml:space="preserve">['FTCV8', 'FTCV8', 'FRENTE TIPO SPYDER CON SOPORTE TUBULAR DE VIDRIO TEMPLADO INCOLORO DE 8 mm DE ESPESOR ', 'Pza(s).', 0, 0, 0, 0, 0, 0, 'Datos para proforma', 0.00, 0.00, 0.00, 0.00, 0.00, 0.00, 0.00, 0.00], </v>
      </c>
    </row>
    <row r="214" spans="1:23" ht="31.2" x14ac:dyDescent="0.3">
      <c r="A214" s="73">
        <v>208</v>
      </c>
      <c r="B214" s="74" t="s">
        <v>1359</v>
      </c>
      <c r="C214" s="74" t="s">
        <v>1359</v>
      </c>
      <c r="D214" s="88" t="s">
        <v>1361</v>
      </c>
      <c r="E214" s="37" t="s">
        <v>1302</v>
      </c>
      <c r="F214" s="95">
        <v>0</v>
      </c>
      <c r="G214" s="95">
        <v>0</v>
      </c>
      <c r="H214" s="96">
        <v>0</v>
      </c>
      <c r="I214" s="96">
        <v>0</v>
      </c>
      <c r="J214" s="96">
        <v>0</v>
      </c>
      <c r="K214" s="96">
        <v>0</v>
      </c>
      <c r="L214" s="58" t="s">
        <v>1303</v>
      </c>
      <c r="M214" s="38" t="s">
        <v>1430</v>
      </c>
      <c r="N214" s="38" t="s">
        <v>1430</v>
      </c>
      <c r="O214" s="38" t="s">
        <v>1430</v>
      </c>
      <c r="P214" s="38" t="s">
        <v>1430</v>
      </c>
      <c r="Q214" s="38" t="s">
        <v>1430</v>
      </c>
      <c r="R214" s="38" t="s">
        <v>1430</v>
      </c>
      <c r="S214" s="38" t="s">
        <v>1430</v>
      </c>
      <c r="T214" s="38" t="s">
        <v>1430</v>
      </c>
      <c r="V214" s="6" t="s">
        <v>1631</v>
      </c>
      <c r="W214" s="18" t="str">
        <f>CONCATENATE("['",B214,"', '",C214,"', '",D214,"', '",E214,"', ",F214,", ",G214,", ",H214,", ",I214,", ",J214,", ",K214,", '",L214,"', ",M214,", ",N214,", ",O214,", ",P214,", ",Q214,", ",R214,", ",S214,", ",T214,"], ")</f>
        <v xml:space="preserve">['FTCV8C', 'FTCV8C', 'FRENTE TIPO SPYDER CON SOPORTE TUBULAR DE VIDRIO TEMPLADO COLOR DE 8 mm DE ESPESOR ', 'Pza(s).', 0, 0, 0, 0, 0, 0, 'Datos para proforma', 0.00, 0.00, 0.00, 0.00, 0.00, 0.00, 0.00, 0.00], </v>
      </c>
    </row>
    <row r="215" spans="1:23" ht="31.2" x14ac:dyDescent="0.3">
      <c r="A215" s="73">
        <v>209</v>
      </c>
      <c r="B215" s="74" t="s">
        <v>1337</v>
      </c>
      <c r="C215" s="74" t="s">
        <v>1337</v>
      </c>
      <c r="D215" s="88" t="s">
        <v>1308</v>
      </c>
      <c r="E215" s="37" t="s">
        <v>1302</v>
      </c>
      <c r="F215" s="95">
        <v>0</v>
      </c>
      <c r="G215" s="95">
        <v>0</v>
      </c>
      <c r="H215" s="96">
        <v>0</v>
      </c>
      <c r="I215" s="96">
        <v>0</v>
      </c>
      <c r="J215" s="96">
        <v>0</v>
      </c>
      <c r="K215" s="96">
        <v>0</v>
      </c>
      <c r="L215" s="58" t="s">
        <v>1303</v>
      </c>
      <c r="M215" s="38" t="s">
        <v>1430</v>
      </c>
      <c r="N215" s="38" t="s">
        <v>1430</v>
      </c>
      <c r="O215" s="38" t="s">
        <v>1430</v>
      </c>
      <c r="P215" s="38" t="s">
        <v>1430</v>
      </c>
      <c r="Q215" s="38" t="s">
        <v>1430</v>
      </c>
      <c r="R215" s="38" t="s">
        <v>1430</v>
      </c>
      <c r="S215" s="38" t="s">
        <v>1430</v>
      </c>
      <c r="T215" s="38" t="s">
        <v>1430</v>
      </c>
      <c r="V215" s="6" t="s">
        <v>1632</v>
      </c>
      <c r="W215" s="18" t="str">
        <f t="shared" si="8"/>
        <v xml:space="preserve">['FTTS10', 'FTTS10', 'FRENTE TIPO SPYDER CON SOPORTE TUBULAR DE VIDRIO TEMPLADO INCOLORO DE 10 mm DE ESPESOR ', 'Pza(s).', 0, 0, 0, 0, 0, 0, 'Datos para proforma', 0.00, 0.00, 0.00, 0.00, 0.00, 0.00, 0.00, 0.00], </v>
      </c>
    </row>
    <row r="216" spans="1:23" ht="31.2" x14ac:dyDescent="0.3">
      <c r="A216" s="73">
        <v>210</v>
      </c>
      <c r="B216" s="74" t="s">
        <v>1338</v>
      </c>
      <c r="C216" s="74" t="s">
        <v>1338</v>
      </c>
      <c r="D216" s="88" t="s">
        <v>1309</v>
      </c>
      <c r="E216" s="37" t="s">
        <v>1302</v>
      </c>
      <c r="F216" s="95">
        <v>0</v>
      </c>
      <c r="G216" s="95">
        <v>0</v>
      </c>
      <c r="H216" s="96">
        <v>0</v>
      </c>
      <c r="I216" s="96">
        <v>0</v>
      </c>
      <c r="J216" s="96">
        <v>0</v>
      </c>
      <c r="K216" s="96">
        <v>0</v>
      </c>
      <c r="L216" s="58" t="s">
        <v>1303</v>
      </c>
      <c r="M216" s="38" t="s">
        <v>1430</v>
      </c>
      <c r="N216" s="38" t="s">
        <v>1430</v>
      </c>
      <c r="O216" s="38" t="s">
        <v>1430</v>
      </c>
      <c r="P216" s="38" t="s">
        <v>1430</v>
      </c>
      <c r="Q216" s="38" t="s">
        <v>1430</v>
      </c>
      <c r="R216" s="38" t="s">
        <v>1430</v>
      </c>
      <c r="S216" s="38" t="s">
        <v>1430</v>
      </c>
      <c r="T216" s="38" t="s">
        <v>1430</v>
      </c>
      <c r="V216" s="6" t="s">
        <v>1633</v>
      </c>
      <c r="W216" s="18" t="str">
        <f t="shared" si="8"/>
        <v xml:space="preserve">['FTTS10C', 'FTTS10C', 'FRENTE TIPO SPYDER CON SOPORTE TUBULAR DE VIDRIO TEMPLADO COLOR DE 10 mm DE ESPESOR ', 'Pza(s).', 0, 0, 0, 0, 0, 0, 'Datos para proforma', 0.00, 0.00, 0.00, 0.00, 0.00, 0.00, 0.00, 0.00], </v>
      </c>
    </row>
    <row r="217" spans="1:23" ht="31.2" x14ac:dyDescent="0.3">
      <c r="A217" s="73">
        <v>211</v>
      </c>
      <c r="B217" s="74" t="s">
        <v>1358</v>
      </c>
      <c r="C217" s="74" t="s">
        <v>1358</v>
      </c>
      <c r="D217" s="88" t="s">
        <v>1356</v>
      </c>
      <c r="E217" s="37" t="s">
        <v>1302</v>
      </c>
      <c r="F217" s="95">
        <v>0</v>
      </c>
      <c r="G217" s="95">
        <v>0</v>
      </c>
      <c r="H217" s="96">
        <v>0</v>
      </c>
      <c r="I217" s="96">
        <v>0</v>
      </c>
      <c r="J217" s="96">
        <v>0</v>
      </c>
      <c r="K217" s="96">
        <v>0</v>
      </c>
      <c r="L217" s="58" t="s">
        <v>1303</v>
      </c>
      <c r="M217" s="38" t="s">
        <v>1430</v>
      </c>
      <c r="N217" s="38" t="s">
        <v>1430</v>
      </c>
      <c r="O217" s="38" t="s">
        <v>1430</v>
      </c>
      <c r="P217" s="38" t="s">
        <v>1430</v>
      </c>
      <c r="Q217" s="38" t="s">
        <v>1430</v>
      </c>
      <c r="R217" s="38" t="s">
        <v>1430</v>
      </c>
      <c r="S217" s="38" t="s">
        <v>1430</v>
      </c>
      <c r="T217" s="38" t="s">
        <v>1430</v>
      </c>
      <c r="V217" s="6" t="s">
        <v>1634</v>
      </c>
      <c r="W217" s="18" t="str">
        <f t="shared" si="8"/>
        <v xml:space="preserve">['FTCV8', 'FTCV8', 'FRENTE DE VIDRIO TEMPLADO CON HERRAJES Y VIENTOS INCOLORO DE 8 mm DE ESPESOR ', 'Pza(s).', 0, 0, 0, 0, 0, 0, 'Datos para proforma', 0.00, 0.00, 0.00, 0.00, 0.00, 0.00, 0.00, 0.00], </v>
      </c>
    </row>
    <row r="218" spans="1:23" ht="31.2" x14ac:dyDescent="0.3">
      <c r="A218" s="73">
        <v>212</v>
      </c>
      <c r="B218" s="74" t="s">
        <v>1359</v>
      </c>
      <c r="C218" s="74" t="s">
        <v>1359</v>
      </c>
      <c r="D218" s="88" t="s">
        <v>1357</v>
      </c>
      <c r="E218" s="37" t="s">
        <v>1302</v>
      </c>
      <c r="F218" s="95">
        <v>0</v>
      </c>
      <c r="G218" s="95">
        <v>0</v>
      </c>
      <c r="H218" s="96">
        <v>0</v>
      </c>
      <c r="I218" s="96">
        <v>0</v>
      </c>
      <c r="J218" s="96">
        <v>0</v>
      </c>
      <c r="K218" s="96">
        <v>0</v>
      </c>
      <c r="L218" s="58" t="s">
        <v>1303</v>
      </c>
      <c r="M218" s="38" t="s">
        <v>1430</v>
      </c>
      <c r="N218" s="38" t="s">
        <v>1430</v>
      </c>
      <c r="O218" s="38" t="s">
        <v>1430</v>
      </c>
      <c r="P218" s="38" t="s">
        <v>1430</v>
      </c>
      <c r="Q218" s="38" t="s">
        <v>1430</v>
      </c>
      <c r="R218" s="38" t="s">
        <v>1430</v>
      </c>
      <c r="S218" s="38" t="s">
        <v>1430</v>
      </c>
      <c r="T218" s="38" t="s">
        <v>1430</v>
      </c>
      <c r="V218" s="6" t="s">
        <v>1635</v>
      </c>
      <c r="W218" s="18" t="str">
        <f t="shared" si="8"/>
        <v xml:space="preserve">['FTCV8C', 'FTCV8C', 'FRENTE DE VIDRIO TEMPLADO CON HERRAJES Y VIENTOS COLOR DE 8 mm DE ESPESOR ', 'Pza(s).', 0, 0, 0, 0, 0, 0, 'Datos para proforma', 0.00, 0.00, 0.00, 0.00, 0.00, 0.00, 0.00, 0.00], </v>
      </c>
    </row>
    <row r="219" spans="1:23" ht="31.2" x14ac:dyDescent="0.3">
      <c r="A219" s="73">
        <v>213</v>
      </c>
      <c r="B219" s="74" t="s">
        <v>1339</v>
      </c>
      <c r="C219" s="74" t="s">
        <v>1339</v>
      </c>
      <c r="D219" s="88" t="s">
        <v>1310</v>
      </c>
      <c r="E219" s="37" t="s">
        <v>1302</v>
      </c>
      <c r="F219" s="95">
        <v>0</v>
      </c>
      <c r="G219" s="95">
        <v>0</v>
      </c>
      <c r="H219" s="96">
        <v>0</v>
      </c>
      <c r="I219" s="96">
        <v>0</v>
      </c>
      <c r="J219" s="96">
        <v>0</v>
      </c>
      <c r="K219" s="96">
        <v>0</v>
      </c>
      <c r="L219" s="58" t="s">
        <v>1303</v>
      </c>
      <c r="M219" s="38" t="s">
        <v>1430</v>
      </c>
      <c r="N219" s="38" t="s">
        <v>1430</v>
      </c>
      <c r="O219" s="38" t="s">
        <v>1430</v>
      </c>
      <c r="P219" s="38" t="s">
        <v>1430</v>
      </c>
      <c r="Q219" s="38" t="s">
        <v>1430</v>
      </c>
      <c r="R219" s="38" t="s">
        <v>1430</v>
      </c>
      <c r="S219" s="38" t="s">
        <v>1430</v>
      </c>
      <c r="T219" s="38" t="s">
        <v>1430</v>
      </c>
      <c r="V219" s="6" t="s">
        <v>1636</v>
      </c>
      <c r="W219" s="18" t="str">
        <f t="shared" ref="W219:W220" si="10">CONCATENATE("['",B219,"', '",C219,"', '",D219,"', '",E219,"', ",F219,", ",G219,", ",H219,", ",I219,", ",J219,", ",K219,", '",L219,"', ",M219,", ",N219,", ",O219,", ",P219,", ",Q219,", ",R219,", ",S219,", ",T219,"], ")</f>
        <v xml:space="preserve">['FTCV10', 'FTCV10', 'FRENTE DE VIDRIO TEMPLADO CON HERRAJES Y VIENTOS INCOLORO DE 10 mm DE ESPESOR ', 'Pza(s).', 0, 0, 0, 0, 0, 0, 'Datos para proforma', 0.00, 0.00, 0.00, 0.00, 0.00, 0.00, 0.00, 0.00], </v>
      </c>
    </row>
    <row r="220" spans="1:23" ht="31.2" x14ac:dyDescent="0.3">
      <c r="A220" s="73">
        <v>214</v>
      </c>
      <c r="B220" s="74" t="s">
        <v>1340</v>
      </c>
      <c r="C220" s="74" t="s">
        <v>1340</v>
      </c>
      <c r="D220" s="88" t="s">
        <v>1311</v>
      </c>
      <c r="E220" s="37" t="s">
        <v>1302</v>
      </c>
      <c r="F220" s="95">
        <v>0</v>
      </c>
      <c r="G220" s="95">
        <v>0</v>
      </c>
      <c r="H220" s="96">
        <v>0</v>
      </c>
      <c r="I220" s="96">
        <v>0</v>
      </c>
      <c r="J220" s="96">
        <v>0</v>
      </c>
      <c r="K220" s="96">
        <v>0</v>
      </c>
      <c r="L220" s="58" t="s">
        <v>1303</v>
      </c>
      <c r="M220" s="38" t="s">
        <v>1430</v>
      </c>
      <c r="N220" s="38" t="s">
        <v>1430</v>
      </c>
      <c r="O220" s="38" t="s">
        <v>1430</v>
      </c>
      <c r="P220" s="38" t="s">
        <v>1430</v>
      </c>
      <c r="Q220" s="38" t="s">
        <v>1430</v>
      </c>
      <c r="R220" s="38" t="s">
        <v>1430</v>
      </c>
      <c r="S220" s="38" t="s">
        <v>1430</v>
      </c>
      <c r="T220" s="38" t="s">
        <v>1430</v>
      </c>
      <c r="V220" s="6" t="s">
        <v>1637</v>
      </c>
      <c r="W220" s="18" t="str">
        <f t="shared" si="10"/>
        <v xml:space="preserve">['FTCV10C', 'FTCV10C', 'FRENTE DE VIDRIO TEMPLADO CON HERRAJES Y VIENTOS COLOR DE 10 mm DE ESPESOR ', 'Pza(s).', 0, 0, 0, 0, 0, 0, 'Datos para proforma', 0.00, 0.00, 0.00, 0.00, 0.00, 0.00, 0.00, 0.00], </v>
      </c>
    </row>
    <row r="221" spans="1:23" ht="31.2" x14ac:dyDescent="0.3">
      <c r="A221" s="73">
        <v>215</v>
      </c>
      <c r="B221" s="74" t="s">
        <v>1654</v>
      </c>
      <c r="C221" s="74" t="s">
        <v>1654</v>
      </c>
      <c r="D221" s="88" t="s">
        <v>1312</v>
      </c>
      <c r="E221" s="37" t="s">
        <v>1302</v>
      </c>
      <c r="F221" s="95">
        <v>0</v>
      </c>
      <c r="G221" s="95">
        <v>0</v>
      </c>
      <c r="H221" s="96">
        <v>0</v>
      </c>
      <c r="I221" s="96">
        <v>0</v>
      </c>
      <c r="J221" s="96">
        <v>0</v>
      </c>
      <c r="K221" s="96">
        <v>0</v>
      </c>
      <c r="L221" s="58" t="s">
        <v>1303</v>
      </c>
      <c r="M221" s="38" t="s">
        <v>1430</v>
      </c>
      <c r="N221" s="38" t="s">
        <v>1430</v>
      </c>
      <c r="O221" s="38" t="s">
        <v>1430</v>
      </c>
      <c r="P221" s="38" t="s">
        <v>1430</v>
      </c>
      <c r="Q221" s="38" t="s">
        <v>1430</v>
      </c>
      <c r="R221" s="38" t="s">
        <v>1430</v>
      </c>
      <c r="S221" s="38" t="s">
        <v>1430</v>
      </c>
      <c r="T221" s="38" t="s">
        <v>1430</v>
      </c>
      <c r="V221" s="6" t="s">
        <v>1694</v>
      </c>
      <c r="W221" s="18" t="str">
        <f t="shared" si="8"/>
        <v xml:space="preserve">['PVC2H8', 'PVC2H8', 'VENTANAS CORREDIZAS DE 2 HOJAS CON VIDRIO TEMPLADO INCOLORO DE 8 mm DE ESPESOR ', 'Pza(s).', 0, 0, 0, 0, 0, 0, 'Datos para proforma', 0.00, 0.00, 0.00, 0.00, 0.00, 0.00, 0.00, 0.00], </v>
      </c>
    </row>
    <row r="222" spans="1:23" ht="31.2" x14ac:dyDescent="0.3">
      <c r="A222" s="73">
        <v>216</v>
      </c>
      <c r="B222" s="74" t="s">
        <v>1655</v>
      </c>
      <c r="C222" s="74" t="s">
        <v>1655</v>
      </c>
      <c r="D222" s="88" t="s">
        <v>1313</v>
      </c>
      <c r="E222" s="37" t="s">
        <v>1302</v>
      </c>
      <c r="F222" s="95">
        <v>0</v>
      </c>
      <c r="G222" s="95">
        <v>0</v>
      </c>
      <c r="H222" s="96">
        <v>0</v>
      </c>
      <c r="I222" s="96">
        <v>0</v>
      </c>
      <c r="J222" s="96">
        <v>0</v>
      </c>
      <c r="K222" s="96">
        <v>0</v>
      </c>
      <c r="L222" s="58" t="s">
        <v>1303</v>
      </c>
      <c r="M222" s="38" t="s">
        <v>1430</v>
      </c>
      <c r="N222" s="38" t="s">
        <v>1430</v>
      </c>
      <c r="O222" s="38" t="s">
        <v>1430</v>
      </c>
      <c r="P222" s="38" t="s">
        <v>1430</v>
      </c>
      <c r="Q222" s="38" t="s">
        <v>1430</v>
      </c>
      <c r="R222" s="38" t="s">
        <v>1430</v>
      </c>
      <c r="S222" s="38" t="s">
        <v>1430</v>
      </c>
      <c r="T222" s="38" t="s">
        <v>1430</v>
      </c>
      <c r="V222" s="6" t="s">
        <v>1695</v>
      </c>
      <c r="W222" s="18" t="str">
        <f t="shared" si="8"/>
        <v xml:space="preserve">['PVC2H8C', 'PVC2H8C', 'VENTANAS CORREDIZAS DE 2 HOJAS CON VIDRIO TEMPLADO COLOR DE 8 mm DE ESPESOR ', 'Pza(s).', 0, 0, 0, 0, 0, 0, 'Datos para proforma', 0.00, 0.00, 0.00, 0.00, 0.00, 0.00, 0.00, 0.00], </v>
      </c>
    </row>
    <row r="223" spans="1:23" ht="31.2" x14ac:dyDescent="0.3">
      <c r="A223" s="73">
        <v>217</v>
      </c>
      <c r="B223" s="74" t="s">
        <v>1341</v>
      </c>
      <c r="C223" s="74" t="s">
        <v>1341</v>
      </c>
      <c r="D223" s="88" t="s">
        <v>1638</v>
      </c>
      <c r="E223" s="37" t="s">
        <v>1302</v>
      </c>
      <c r="F223" s="95">
        <v>0</v>
      </c>
      <c r="G223" s="95">
        <v>0</v>
      </c>
      <c r="H223" s="96">
        <v>0</v>
      </c>
      <c r="I223" s="96">
        <v>0</v>
      </c>
      <c r="J223" s="96">
        <v>0</v>
      </c>
      <c r="K223" s="96">
        <v>0</v>
      </c>
      <c r="L223" s="58" t="s">
        <v>1303</v>
      </c>
      <c r="M223" s="38" t="s">
        <v>1430</v>
      </c>
      <c r="N223" s="38" t="s">
        <v>1430</v>
      </c>
      <c r="O223" s="38" t="s">
        <v>1430</v>
      </c>
      <c r="P223" s="38" t="s">
        <v>1430</v>
      </c>
      <c r="Q223" s="38" t="s">
        <v>1430</v>
      </c>
      <c r="R223" s="38" t="s">
        <v>1430</v>
      </c>
      <c r="S223" s="38" t="s">
        <v>1430</v>
      </c>
      <c r="T223" s="38" t="s">
        <v>1430</v>
      </c>
      <c r="V223" s="6" t="s">
        <v>1696</v>
      </c>
      <c r="W223" s="18" t="str">
        <f t="shared" ref="W223:W226" si="11">CONCATENATE("['",B223,"', '",C223,"', '",D223,"', '",E223,"', ",F223,", ",G223,", ",H223,", ",I223,", ",J223,", ",K223,", '",L223,"', ",M223,", ",N223,", ",O223,", ",P223,", ",Q223,", ",R223,", ",S223,", ",T223,"], ")</f>
        <v xml:space="preserve">['PVC2H10', 'PVC2H10', 'VENTANAS CORREDIZAS DE 2 HOJAS CON VIDRIO TEMPLADO INCOLORO DE 10 mm DE ESPESOR ', 'Pza(s).', 0, 0, 0, 0, 0, 0, 'Datos para proforma', 0.00, 0.00, 0.00, 0.00, 0.00, 0.00, 0.00, 0.00], </v>
      </c>
    </row>
    <row r="224" spans="1:23" ht="31.2" x14ac:dyDescent="0.3">
      <c r="A224" s="73">
        <v>218</v>
      </c>
      <c r="B224" s="74" t="s">
        <v>1342</v>
      </c>
      <c r="C224" s="74" t="s">
        <v>1342</v>
      </c>
      <c r="D224" s="88" t="s">
        <v>1639</v>
      </c>
      <c r="E224" s="37" t="s">
        <v>1302</v>
      </c>
      <c r="F224" s="95">
        <v>0</v>
      </c>
      <c r="G224" s="95">
        <v>0</v>
      </c>
      <c r="H224" s="96">
        <v>0</v>
      </c>
      <c r="I224" s="96">
        <v>0</v>
      </c>
      <c r="J224" s="96">
        <v>0</v>
      </c>
      <c r="K224" s="96">
        <v>0</v>
      </c>
      <c r="L224" s="58" t="s">
        <v>1303</v>
      </c>
      <c r="M224" s="38" t="s">
        <v>1430</v>
      </c>
      <c r="N224" s="38" t="s">
        <v>1430</v>
      </c>
      <c r="O224" s="38" t="s">
        <v>1430</v>
      </c>
      <c r="P224" s="38" t="s">
        <v>1430</v>
      </c>
      <c r="Q224" s="38" t="s">
        <v>1430</v>
      </c>
      <c r="R224" s="38" t="s">
        <v>1430</v>
      </c>
      <c r="S224" s="38" t="s">
        <v>1430</v>
      </c>
      <c r="T224" s="38" t="s">
        <v>1430</v>
      </c>
      <c r="V224" s="6" t="s">
        <v>1697</v>
      </c>
      <c r="W224" s="18" t="str">
        <f t="shared" si="11"/>
        <v xml:space="preserve">['PVC2H10C', 'PVC2H10C', 'VENTANAS CORREDIZAS DE 2 HOJAS CON VIDRIO TEMPLADO COLOR DE 10 mm DE ESPESOR ', 'Pza(s).', 0, 0, 0, 0, 0, 0, 'Datos para proforma', 0.00, 0.00, 0.00, 0.00, 0.00, 0.00, 0.00, 0.00], </v>
      </c>
    </row>
    <row r="225" spans="1:23" ht="31.2" x14ac:dyDescent="0.3">
      <c r="A225" s="73">
        <v>219</v>
      </c>
      <c r="B225" s="74" t="s">
        <v>1656</v>
      </c>
      <c r="C225" s="74" t="s">
        <v>1656</v>
      </c>
      <c r="D225" s="88" t="s">
        <v>1640</v>
      </c>
      <c r="E225" s="37" t="s">
        <v>1302</v>
      </c>
      <c r="F225" s="95">
        <v>0</v>
      </c>
      <c r="G225" s="95">
        <v>0</v>
      </c>
      <c r="H225" s="96">
        <v>0</v>
      </c>
      <c r="I225" s="96">
        <v>0</v>
      </c>
      <c r="J225" s="96">
        <v>0</v>
      </c>
      <c r="K225" s="96">
        <v>0</v>
      </c>
      <c r="L225" s="58" t="s">
        <v>1303</v>
      </c>
      <c r="M225" s="38" t="s">
        <v>1430</v>
      </c>
      <c r="N225" s="38" t="s">
        <v>1430</v>
      </c>
      <c r="O225" s="38" t="s">
        <v>1430</v>
      </c>
      <c r="P225" s="38" t="s">
        <v>1430</v>
      </c>
      <c r="Q225" s="38" t="s">
        <v>1430</v>
      </c>
      <c r="R225" s="38" t="s">
        <v>1430</v>
      </c>
      <c r="S225" s="38" t="s">
        <v>1430</v>
      </c>
      <c r="T225" s="38" t="s">
        <v>1430</v>
      </c>
      <c r="V225" s="6" t="s">
        <v>1698</v>
      </c>
      <c r="W225" s="18" t="str">
        <f t="shared" si="11"/>
        <v xml:space="preserve">['PVC2HCF8', 'PVC2HCF8', 'VENTANAS CORREDIZAS DE 2 HOJAS MAS FIJO CON VIDRIO TEMPLADO INCOLORO DE 8 mm DE ESPESOR ', 'Pza(s).', 0, 0, 0, 0, 0, 0, 'Datos para proforma', 0.00, 0.00, 0.00, 0.00, 0.00, 0.00, 0.00, 0.00], </v>
      </c>
    </row>
    <row r="226" spans="1:23" ht="31.2" x14ac:dyDescent="0.3">
      <c r="A226" s="73">
        <v>220</v>
      </c>
      <c r="B226" s="74" t="s">
        <v>1657</v>
      </c>
      <c r="C226" s="74" t="s">
        <v>1657</v>
      </c>
      <c r="D226" s="88" t="s">
        <v>1641</v>
      </c>
      <c r="E226" s="37" t="s">
        <v>1302</v>
      </c>
      <c r="F226" s="95">
        <v>0</v>
      </c>
      <c r="G226" s="95">
        <v>0</v>
      </c>
      <c r="H226" s="96">
        <v>0</v>
      </c>
      <c r="I226" s="96">
        <v>0</v>
      </c>
      <c r="J226" s="96">
        <v>0</v>
      </c>
      <c r="K226" s="96">
        <v>0</v>
      </c>
      <c r="L226" s="58" t="s">
        <v>1303</v>
      </c>
      <c r="M226" s="38" t="s">
        <v>1430</v>
      </c>
      <c r="N226" s="38" t="s">
        <v>1430</v>
      </c>
      <c r="O226" s="38" t="s">
        <v>1430</v>
      </c>
      <c r="P226" s="38" t="s">
        <v>1430</v>
      </c>
      <c r="Q226" s="38" t="s">
        <v>1430</v>
      </c>
      <c r="R226" s="38" t="s">
        <v>1430</v>
      </c>
      <c r="S226" s="38" t="s">
        <v>1430</v>
      </c>
      <c r="T226" s="38" t="s">
        <v>1430</v>
      </c>
      <c r="V226" s="6" t="s">
        <v>1699</v>
      </c>
      <c r="W226" s="18" t="str">
        <f t="shared" si="11"/>
        <v xml:space="preserve">['PVC2HCF8C', 'PVC2HCF8C', 'VENTANAS CORREDIZAS DE 2 HOJAS MAS FIJO CON VIDRIO TEMPLADO COLOR DE 8 mm DE ESPESOR ', 'Pza(s).', 0, 0, 0, 0, 0, 0, 'Datos para proforma', 0.00, 0.00, 0.00, 0.00, 0.00, 0.00, 0.00, 0.00], </v>
      </c>
    </row>
    <row r="227" spans="1:23" ht="31.2" x14ac:dyDescent="0.3">
      <c r="A227" s="73">
        <v>221</v>
      </c>
      <c r="B227" s="74" t="s">
        <v>1658</v>
      </c>
      <c r="C227" s="74" t="s">
        <v>1658</v>
      </c>
      <c r="D227" s="88" t="s">
        <v>1642</v>
      </c>
      <c r="E227" s="37" t="s">
        <v>1302</v>
      </c>
      <c r="F227" s="95">
        <v>0</v>
      </c>
      <c r="G227" s="95">
        <v>0</v>
      </c>
      <c r="H227" s="96">
        <v>0</v>
      </c>
      <c r="I227" s="96">
        <v>0</v>
      </c>
      <c r="J227" s="96">
        <v>0</v>
      </c>
      <c r="K227" s="96">
        <v>0</v>
      </c>
      <c r="L227" s="58" t="s">
        <v>1303</v>
      </c>
      <c r="M227" s="38" t="s">
        <v>1430</v>
      </c>
      <c r="N227" s="38" t="s">
        <v>1430</v>
      </c>
      <c r="O227" s="38" t="s">
        <v>1430</v>
      </c>
      <c r="P227" s="38" t="s">
        <v>1430</v>
      </c>
      <c r="Q227" s="38" t="s">
        <v>1430</v>
      </c>
      <c r="R227" s="38" t="s">
        <v>1430</v>
      </c>
      <c r="S227" s="38" t="s">
        <v>1430</v>
      </c>
      <c r="T227" s="38" t="s">
        <v>1430</v>
      </c>
      <c r="V227" s="6" t="s">
        <v>1700</v>
      </c>
      <c r="W227" s="18" t="str">
        <f t="shared" ref="W227:W234" si="12">CONCATENATE("['",B227,"', '",C227,"', '",D227,"', '",E227,"', ",F227,", ",G227,", ",H227,", ",I227,", ",J227,", ",K227,", '",L227,"', ",M227,", ",N227,", ",O227,", ",P227,", ",Q227,", ",R227,", ",S227,", ",T227,"], ")</f>
        <v xml:space="preserve">['PVC2HCF10', 'PVC2HCF10', 'VENTANAS CORREDIZAS DE 2 HOJAS MAS FIJO CON VIDRIO TEMPLADO INCOLORO DE 10 mm DE ESPESOR ', 'Pza(s).', 0, 0, 0, 0, 0, 0, 'Datos para proforma', 0.00, 0.00, 0.00, 0.00, 0.00, 0.00, 0.00, 0.00], </v>
      </c>
    </row>
    <row r="228" spans="1:23" ht="31.2" x14ac:dyDescent="0.3">
      <c r="A228" s="73">
        <v>222</v>
      </c>
      <c r="B228" s="74" t="s">
        <v>1659</v>
      </c>
      <c r="C228" s="74" t="s">
        <v>1659</v>
      </c>
      <c r="D228" s="88" t="s">
        <v>1644</v>
      </c>
      <c r="E228" s="37" t="s">
        <v>1302</v>
      </c>
      <c r="F228" s="95">
        <v>0</v>
      </c>
      <c r="G228" s="95">
        <v>0</v>
      </c>
      <c r="H228" s="96">
        <v>0</v>
      </c>
      <c r="I228" s="96">
        <v>0</v>
      </c>
      <c r="J228" s="96">
        <v>0</v>
      </c>
      <c r="K228" s="96">
        <v>0</v>
      </c>
      <c r="L228" s="58" t="s">
        <v>1303</v>
      </c>
      <c r="M228" s="38" t="s">
        <v>1430</v>
      </c>
      <c r="N228" s="38" t="s">
        <v>1430</v>
      </c>
      <c r="O228" s="38" t="s">
        <v>1430</v>
      </c>
      <c r="P228" s="38" t="s">
        <v>1430</v>
      </c>
      <c r="Q228" s="38" t="s">
        <v>1430</v>
      </c>
      <c r="R228" s="38" t="s">
        <v>1430</v>
      </c>
      <c r="S228" s="38" t="s">
        <v>1430</v>
      </c>
      <c r="T228" s="38" t="s">
        <v>1430</v>
      </c>
      <c r="V228" s="6" t="s">
        <v>1701</v>
      </c>
      <c r="W228" s="18" t="str">
        <f t="shared" si="12"/>
        <v xml:space="preserve">['PVC2HCF10C', 'PVC2HCF10C', 'VENTANAS CORREDIZAS DE 2 HOJAS MAS FIJO CON VIDRIO TEMPLADO COLOR DE 10 mm DE ESPESOR ', 'Pza(s).', 0, 0, 0, 0, 0, 0, 'Datos para proforma', 0.00, 0.00, 0.00, 0.00, 0.00, 0.00, 0.00, 0.00], </v>
      </c>
    </row>
    <row r="229" spans="1:23" ht="31.2" x14ac:dyDescent="0.3">
      <c r="A229" s="73">
        <v>223</v>
      </c>
      <c r="B229" s="74" t="s">
        <v>1660</v>
      </c>
      <c r="C229" s="74" t="s">
        <v>1660</v>
      </c>
      <c r="D229" s="88" t="s">
        <v>1314</v>
      </c>
      <c r="E229" s="37" t="s">
        <v>1302</v>
      </c>
      <c r="F229" s="95">
        <v>0</v>
      </c>
      <c r="G229" s="95">
        <v>0</v>
      </c>
      <c r="H229" s="96">
        <v>0</v>
      </c>
      <c r="I229" s="96">
        <v>0</v>
      </c>
      <c r="J229" s="96">
        <v>0</v>
      </c>
      <c r="K229" s="96">
        <v>0</v>
      </c>
      <c r="L229" s="58" t="s">
        <v>1303</v>
      </c>
      <c r="M229" s="38" t="s">
        <v>1430</v>
      </c>
      <c r="N229" s="38" t="s">
        <v>1430</v>
      </c>
      <c r="O229" s="38" t="s">
        <v>1430</v>
      </c>
      <c r="P229" s="38" t="s">
        <v>1430</v>
      </c>
      <c r="Q229" s="38" t="s">
        <v>1430</v>
      </c>
      <c r="R229" s="38" t="s">
        <v>1430</v>
      </c>
      <c r="S229" s="38" t="s">
        <v>1430</v>
      </c>
      <c r="T229" s="38" t="s">
        <v>1430</v>
      </c>
      <c r="V229" s="6" t="s">
        <v>1702</v>
      </c>
      <c r="W229" s="18" t="str">
        <f t="shared" si="12"/>
        <v xml:space="preserve">['PVC4H8', 'PVC4H8', 'VENTANAS CORREDIZAS DE 4 HOJAS CON VIDRIO TEMPLADO INCOLORO DE 8 mm DE ESPESOR ', 'Pza(s).', 0, 0, 0, 0, 0, 0, 'Datos para proforma', 0.00, 0.00, 0.00, 0.00, 0.00, 0.00, 0.00, 0.00], </v>
      </c>
    </row>
    <row r="230" spans="1:23" ht="31.2" x14ac:dyDescent="0.3">
      <c r="A230" s="73">
        <v>224</v>
      </c>
      <c r="B230" s="74" t="s">
        <v>1661</v>
      </c>
      <c r="C230" s="74" t="s">
        <v>1661</v>
      </c>
      <c r="D230" s="88" t="s">
        <v>1315</v>
      </c>
      <c r="E230" s="37" t="s">
        <v>1302</v>
      </c>
      <c r="F230" s="95">
        <v>0</v>
      </c>
      <c r="G230" s="95">
        <v>0</v>
      </c>
      <c r="H230" s="96">
        <v>0</v>
      </c>
      <c r="I230" s="96">
        <v>0</v>
      </c>
      <c r="J230" s="96">
        <v>0</v>
      </c>
      <c r="K230" s="96">
        <v>0</v>
      </c>
      <c r="L230" s="58" t="s">
        <v>1303</v>
      </c>
      <c r="M230" s="38" t="s">
        <v>1430</v>
      </c>
      <c r="N230" s="38" t="s">
        <v>1430</v>
      </c>
      <c r="O230" s="38" t="s">
        <v>1430</v>
      </c>
      <c r="P230" s="38" t="s">
        <v>1430</v>
      </c>
      <c r="Q230" s="38" t="s">
        <v>1430</v>
      </c>
      <c r="R230" s="38" t="s">
        <v>1430</v>
      </c>
      <c r="S230" s="38" t="s">
        <v>1430</v>
      </c>
      <c r="T230" s="38" t="s">
        <v>1430</v>
      </c>
      <c r="V230" s="6" t="s">
        <v>1703</v>
      </c>
      <c r="W230" s="18" t="str">
        <f t="shared" si="12"/>
        <v xml:space="preserve">['PVC4H8C', 'PVC4H8C', 'VENTANAS CORREDIZAS DE 4 HOJAS CON VIDRIO TEMPLADO COLOR DE 8 mm DE ESPESOR ', 'Pza(s).', 0, 0, 0, 0, 0, 0, 'Datos para proforma', 0.00, 0.00, 0.00, 0.00, 0.00, 0.00, 0.00, 0.00], </v>
      </c>
    </row>
    <row r="231" spans="1:23" ht="31.2" x14ac:dyDescent="0.3">
      <c r="A231" s="73">
        <v>225</v>
      </c>
      <c r="B231" s="74" t="s">
        <v>1343</v>
      </c>
      <c r="C231" s="74" t="s">
        <v>1343</v>
      </c>
      <c r="D231" s="88" t="s">
        <v>1645</v>
      </c>
      <c r="E231" s="37" t="s">
        <v>1302</v>
      </c>
      <c r="F231" s="95">
        <v>0</v>
      </c>
      <c r="G231" s="95">
        <v>0</v>
      </c>
      <c r="H231" s="96">
        <v>0</v>
      </c>
      <c r="I231" s="96">
        <v>0</v>
      </c>
      <c r="J231" s="96">
        <v>0</v>
      </c>
      <c r="K231" s="96">
        <v>0</v>
      </c>
      <c r="L231" s="58" t="s">
        <v>1303</v>
      </c>
      <c r="M231" s="38" t="s">
        <v>1430</v>
      </c>
      <c r="N231" s="38" t="s">
        <v>1430</v>
      </c>
      <c r="O231" s="38" t="s">
        <v>1430</v>
      </c>
      <c r="P231" s="38" t="s">
        <v>1430</v>
      </c>
      <c r="Q231" s="38" t="s">
        <v>1430</v>
      </c>
      <c r="R231" s="38" t="s">
        <v>1430</v>
      </c>
      <c r="S231" s="38" t="s">
        <v>1430</v>
      </c>
      <c r="T231" s="38" t="s">
        <v>1430</v>
      </c>
      <c r="V231" s="6" t="s">
        <v>1704</v>
      </c>
      <c r="W231" s="18" t="str">
        <f t="shared" si="12"/>
        <v xml:space="preserve">['PVC4H10', 'PVC4H10', 'VENTANAS CORREDIZAS DE 4 HOJAS CON VIDRIO TEMPLADO INCOLORO DE 10 mm DE ESPESOR ', 'Pza(s).', 0, 0, 0, 0, 0, 0, 'Datos para proforma', 0.00, 0.00, 0.00, 0.00, 0.00, 0.00, 0.00, 0.00], </v>
      </c>
    </row>
    <row r="232" spans="1:23" ht="31.2" x14ac:dyDescent="0.3">
      <c r="A232" s="73">
        <v>226</v>
      </c>
      <c r="B232" s="74" t="s">
        <v>1344</v>
      </c>
      <c r="C232" s="74" t="s">
        <v>1344</v>
      </c>
      <c r="D232" s="88" t="s">
        <v>1646</v>
      </c>
      <c r="E232" s="37" t="s">
        <v>1302</v>
      </c>
      <c r="F232" s="95">
        <v>0</v>
      </c>
      <c r="G232" s="95">
        <v>0</v>
      </c>
      <c r="H232" s="96">
        <v>0</v>
      </c>
      <c r="I232" s="96">
        <v>0</v>
      </c>
      <c r="J232" s="96">
        <v>0</v>
      </c>
      <c r="K232" s="96">
        <v>0</v>
      </c>
      <c r="L232" s="58" t="s">
        <v>1303</v>
      </c>
      <c r="M232" s="38" t="s">
        <v>1430</v>
      </c>
      <c r="N232" s="38" t="s">
        <v>1430</v>
      </c>
      <c r="O232" s="38" t="s">
        <v>1430</v>
      </c>
      <c r="P232" s="38" t="s">
        <v>1430</v>
      </c>
      <c r="Q232" s="38" t="s">
        <v>1430</v>
      </c>
      <c r="R232" s="38" t="s">
        <v>1430</v>
      </c>
      <c r="S232" s="38" t="s">
        <v>1430</v>
      </c>
      <c r="T232" s="38" t="s">
        <v>1430</v>
      </c>
      <c r="V232" s="6" t="s">
        <v>1705</v>
      </c>
      <c r="W232" s="18" t="str">
        <f t="shared" si="12"/>
        <v xml:space="preserve">['PVC4H10C', 'PVC4H10C', 'VENTANAS CORREDIZAS DE 4 HOJAS CON VIDRIO TEMPLADO COLOR DE 10 mm DE ESPESOR ', 'Pza(s).', 0, 0, 0, 0, 0, 0, 'Datos para proforma', 0.00, 0.00, 0.00, 0.00, 0.00, 0.00, 0.00, 0.00], </v>
      </c>
    </row>
    <row r="233" spans="1:23" ht="31.2" x14ac:dyDescent="0.3">
      <c r="A233" s="73">
        <v>227</v>
      </c>
      <c r="B233" s="74" t="s">
        <v>1650</v>
      </c>
      <c r="C233" s="74" t="s">
        <v>1650</v>
      </c>
      <c r="D233" s="88" t="s">
        <v>1643</v>
      </c>
      <c r="E233" s="37" t="s">
        <v>1302</v>
      </c>
      <c r="F233" s="95">
        <v>0</v>
      </c>
      <c r="G233" s="95">
        <v>0</v>
      </c>
      <c r="H233" s="96">
        <v>0</v>
      </c>
      <c r="I233" s="96">
        <v>0</v>
      </c>
      <c r="J233" s="96">
        <v>0</v>
      </c>
      <c r="K233" s="96">
        <v>0</v>
      </c>
      <c r="L233" s="58" t="s">
        <v>1303</v>
      </c>
      <c r="M233" s="38" t="s">
        <v>1430</v>
      </c>
      <c r="N233" s="38" t="s">
        <v>1430</v>
      </c>
      <c r="O233" s="38" t="s">
        <v>1430</v>
      </c>
      <c r="P233" s="38" t="s">
        <v>1430</v>
      </c>
      <c r="Q233" s="38" t="s">
        <v>1430</v>
      </c>
      <c r="R233" s="38" t="s">
        <v>1430</v>
      </c>
      <c r="S233" s="38" t="s">
        <v>1430</v>
      </c>
      <c r="T233" s="38" t="s">
        <v>1430</v>
      </c>
      <c r="V233" s="6" t="s">
        <v>1706</v>
      </c>
      <c r="W233" s="18" t="str">
        <f t="shared" si="12"/>
        <v xml:space="preserve">['PVC4HCF8', 'PVC4HCF8', 'VENTANAS CORREDIZAS DE 4 HOJAS MAS FIJO CON VIDRIO TEMPLADO INCOLORO DE 8 mm DE ESPESOR ', 'Pza(s).', 0, 0, 0, 0, 0, 0, 'Datos para proforma', 0.00, 0.00, 0.00, 0.00, 0.00, 0.00, 0.00, 0.00], </v>
      </c>
    </row>
    <row r="234" spans="1:23" ht="31.2" x14ac:dyDescent="0.3">
      <c r="A234" s="73">
        <v>228</v>
      </c>
      <c r="B234" s="74" t="s">
        <v>1651</v>
      </c>
      <c r="C234" s="74" t="s">
        <v>1651</v>
      </c>
      <c r="D234" s="88" t="s">
        <v>1647</v>
      </c>
      <c r="E234" s="37" t="s">
        <v>1302</v>
      </c>
      <c r="F234" s="95">
        <v>0</v>
      </c>
      <c r="G234" s="95">
        <v>0</v>
      </c>
      <c r="H234" s="96">
        <v>0</v>
      </c>
      <c r="I234" s="96">
        <v>0</v>
      </c>
      <c r="J234" s="96">
        <v>0</v>
      </c>
      <c r="K234" s="96">
        <v>0</v>
      </c>
      <c r="L234" s="58" t="s">
        <v>1303</v>
      </c>
      <c r="M234" s="38" t="s">
        <v>1430</v>
      </c>
      <c r="N234" s="38" t="s">
        <v>1430</v>
      </c>
      <c r="O234" s="38" t="s">
        <v>1430</v>
      </c>
      <c r="P234" s="38" t="s">
        <v>1430</v>
      </c>
      <c r="Q234" s="38" t="s">
        <v>1430</v>
      </c>
      <c r="R234" s="38" t="s">
        <v>1430</v>
      </c>
      <c r="S234" s="38" t="s">
        <v>1430</v>
      </c>
      <c r="T234" s="38" t="s">
        <v>1430</v>
      </c>
      <c r="V234" s="6" t="s">
        <v>1707</v>
      </c>
      <c r="W234" s="18" t="str">
        <f t="shared" si="12"/>
        <v xml:space="preserve">['PVC4HCF8C', 'PVC4HCF8C', 'VENTANAS CORREDIZAS DE 4 HOJAS MAS FIJO CON VIDRIO TEMPLADO COLOR DE 8 mm DE ESPESOR ', 'Pza(s).', 0, 0, 0, 0, 0, 0, 'Datos para proforma', 0.00, 0.00, 0.00, 0.00, 0.00, 0.00, 0.00, 0.00], </v>
      </c>
    </row>
    <row r="235" spans="1:23" ht="31.2" x14ac:dyDescent="0.3">
      <c r="A235" s="73">
        <v>229</v>
      </c>
      <c r="B235" s="74" t="s">
        <v>1652</v>
      </c>
      <c r="C235" s="74" t="s">
        <v>1652</v>
      </c>
      <c r="D235" s="88" t="s">
        <v>1648</v>
      </c>
      <c r="E235" s="37" t="s">
        <v>1302</v>
      </c>
      <c r="F235" s="95">
        <v>0</v>
      </c>
      <c r="G235" s="95">
        <v>0</v>
      </c>
      <c r="H235" s="96">
        <v>0</v>
      </c>
      <c r="I235" s="96">
        <v>0</v>
      </c>
      <c r="J235" s="96">
        <v>0</v>
      </c>
      <c r="K235" s="96">
        <v>0</v>
      </c>
      <c r="L235" s="58" t="s">
        <v>1303</v>
      </c>
      <c r="M235" s="38" t="s">
        <v>1430</v>
      </c>
      <c r="N235" s="38" t="s">
        <v>1430</v>
      </c>
      <c r="O235" s="38" t="s">
        <v>1430</v>
      </c>
      <c r="P235" s="38" t="s">
        <v>1430</v>
      </c>
      <c r="Q235" s="38" t="s">
        <v>1430</v>
      </c>
      <c r="R235" s="38" t="s">
        <v>1430</v>
      </c>
      <c r="S235" s="38" t="s">
        <v>1430</v>
      </c>
      <c r="T235" s="38" t="s">
        <v>1430</v>
      </c>
      <c r="V235" s="6" t="s">
        <v>1708</v>
      </c>
      <c r="W235" s="18" t="str">
        <f t="shared" ref="W235:W236" si="13">CONCATENATE("['",B235,"', '",C235,"', '",D235,"', '",E235,"', ",F235,", ",G235,", ",H235,", ",I235,", ",J235,", ",K235,", '",L235,"', ",M235,", ",N235,", ",O235,", ",P235,", ",Q235,", ",R235,", ",S235,", ",T235,"], ")</f>
        <v xml:space="preserve">['PVC4HCF10', 'PVC4HCF10', 'VENTANAS CORREDIZAS DE 4 HOJAS MAS FIJO CON VIDRIO TEMPLADO INCOLORO DE 10 mm DE ESPESOR ', 'Pza(s).', 0, 0, 0, 0, 0, 0, 'Datos para proforma', 0.00, 0.00, 0.00, 0.00, 0.00, 0.00, 0.00, 0.00], </v>
      </c>
    </row>
    <row r="236" spans="1:23" ht="31.2" x14ac:dyDescent="0.3">
      <c r="A236" s="73">
        <v>230</v>
      </c>
      <c r="B236" s="74" t="s">
        <v>1653</v>
      </c>
      <c r="C236" s="74" t="s">
        <v>1653</v>
      </c>
      <c r="D236" s="88" t="s">
        <v>1649</v>
      </c>
      <c r="E236" s="37" t="s">
        <v>1302</v>
      </c>
      <c r="F236" s="95">
        <v>0</v>
      </c>
      <c r="G236" s="95">
        <v>0</v>
      </c>
      <c r="H236" s="96">
        <v>0</v>
      </c>
      <c r="I236" s="96">
        <v>0</v>
      </c>
      <c r="J236" s="96">
        <v>0</v>
      </c>
      <c r="K236" s="96">
        <v>0</v>
      </c>
      <c r="L236" s="58" t="s">
        <v>1303</v>
      </c>
      <c r="M236" s="38" t="s">
        <v>1430</v>
      </c>
      <c r="N236" s="38" t="s">
        <v>1430</v>
      </c>
      <c r="O236" s="38" t="s">
        <v>1430</v>
      </c>
      <c r="P236" s="38" t="s">
        <v>1430</v>
      </c>
      <c r="Q236" s="38" t="s">
        <v>1430</v>
      </c>
      <c r="R236" s="38" t="s">
        <v>1430</v>
      </c>
      <c r="S236" s="38" t="s">
        <v>1430</v>
      </c>
      <c r="T236" s="38" t="s">
        <v>1430</v>
      </c>
      <c r="V236" s="6" t="s">
        <v>1709</v>
      </c>
      <c r="W236" s="18" t="str">
        <f t="shared" si="13"/>
        <v xml:space="preserve">['PVC4HCF10C', 'PVC4HCF10C', 'VENTANAS CORREDIZAS DE 4 HOJAS MAS FIJO CON VIDRIO TEMPLADO COLOR DE 10 mm DE ESPESOR ', 'Pza(s).', 0, 0, 0, 0, 0, 0, 'Datos para proforma', 0.00, 0.00, 0.00, 0.00, 0.00, 0.00, 0.00, 0.00], </v>
      </c>
    </row>
    <row r="237" spans="1:23" ht="31.2" x14ac:dyDescent="0.3">
      <c r="A237" s="73">
        <v>231</v>
      </c>
      <c r="B237" s="74" t="s">
        <v>1664</v>
      </c>
      <c r="C237" s="74" t="s">
        <v>1664</v>
      </c>
      <c r="D237" s="88" t="s">
        <v>1663</v>
      </c>
      <c r="E237" s="37" t="s">
        <v>1302</v>
      </c>
      <c r="F237" s="95">
        <v>0</v>
      </c>
      <c r="G237" s="95">
        <v>0</v>
      </c>
      <c r="H237" s="96">
        <v>0</v>
      </c>
      <c r="I237" s="96">
        <v>0</v>
      </c>
      <c r="J237" s="96">
        <v>0</v>
      </c>
      <c r="K237" s="96">
        <v>0</v>
      </c>
      <c r="L237" s="58" t="s">
        <v>1303</v>
      </c>
      <c r="M237" s="38" t="s">
        <v>1430</v>
      </c>
      <c r="N237" s="38" t="s">
        <v>1430</v>
      </c>
      <c r="O237" s="38" t="s">
        <v>1430</v>
      </c>
      <c r="P237" s="38" t="s">
        <v>1430</v>
      </c>
      <c r="Q237" s="38" t="s">
        <v>1430</v>
      </c>
      <c r="R237" s="38" t="s">
        <v>1430</v>
      </c>
      <c r="S237" s="38" t="s">
        <v>1430</v>
      </c>
      <c r="T237" s="38" t="s">
        <v>1430</v>
      </c>
      <c r="V237" s="6" t="s">
        <v>1710</v>
      </c>
      <c r="W237" s="18" t="str">
        <f t="shared" si="8"/>
        <v xml:space="preserve">['PBS10', 'PBS10', 'PUERTAS BATIENTES SIMPLE DE VIDRIO TEMPLADO INCOLORO DE 10 mm DE ESPESOR ', 'Pza(s).', 0, 0, 0, 0, 0, 0, 'Datos para proforma', 0.00, 0.00, 0.00, 0.00, 0.00, 0.00, 0.00, 0.00], </v>
      </c>
    </row>
    <row r="238" spans="1:23" ht="31.2" x14ac:dyDescent="0.3">
      <c r="A238" s="73">
        <v>232</v>
      </c>
      <c r="B238" s="74" t="s">
        <v>1665</v>
      </c>
      <c r="C238" s="74" t="s">
        <v>1665</v>
      </c>
      <c r="D238" s="88" t="s">
        <v>1662</v>
      </c>
      <c r="E238" s="37" t="s">
        <v>1302</v>
      </c>
      <c r="F238" s="95">
        <v>0</v>
      </c>
      <c r="G238" s="95">
        <v>0</v>
      </c>
      <c r="H238" s="96">
        <v>0</v>
      </c>
      <c r="I238" s="96">
        <v>0</v>
      </c>
      <c r="J238" s="96">
        <v>0</v>
      </c>
      <c r="K238" s="96">
        <v>0</v>
      </c>
      <c r="L238" s="58" t="s">
        <v>1303</v>
      </c>
      <c r="M238" s="38" t="s">
        <v>1430</v>
      </c>
      <c r="N238" s="38" t="s">
        <v>1430</v>
      </c>
      <c r="O238" s="38" t="s">
        <v>1430</v>
      </c>
      <c r="P238" s="38" t="s">
        <v>1430</v>
      </c>
      <c r="Q238" s="38" t="s">
        <v>1430</v>
      </c>
      <c r="R238" s="38" t="s">
        <v>1430</v>
      </c>
      <c r="S238" s="38" t="s">
        <v>1430</v>
      </c>
      <c r="T238" s="38" t="s">
        <v>1430</v>
      </c>
      <c r="V238" s="6" t="s">
        <v>1711</v>
      </c>
      <c r="W238" s="18" t="str">
        <f t="shared" si="8"/>
        <v xml:space="preserve">['PBS10C', 'PBS10C', 'PUERTAS BATIENTES SIMPLE DE VIDRIO TEMPLADO COLOR DE 10 mm DE ESPESOR ', 'Pza(s).', 0, 0, 0, 0, 0, 0, 'Datos para proforma', 0.00, 0.00, 0.00, 0.00, 0.00, 0.00, 0.00, 0.00], </v>
      </c>
    </row>
    <row r="239" spans="1:23" ht="31.2" x14ac:dyDescent="0.3">
      <c r="A239" s="73">
        <v>233</v>
      </c>
      <c r="B239" s="74" t="s">
        <v>1666</v>
      </c>
      <c r="C239" s="74" t="s">
        <v>1666</v>
      </c>
      <c r="D239" s="88" t="s">
        <v>1668</v>
      </c>
      <c r="E239" s="37" t="s">
        <v>1302</v>
      </c>
      <c r="F239" s="95">
        <v>0</v>
      </c>
      <c r="G239" s="95">
        <v>0</v>
      </c>
      <c r="H239" s="96">
        <v>0</v>
      </c>
      <c r="I239" s="96">
        <v>0</v>
      </c>
      <c r="J239" s="96">
        <v>0</v>
      </c>
      <c r="K239" s="96">
        <v>0</v>
      </c>
      <c r="L239" s="58" t="s">
        <v>1303</v>
      </c>
      <c r="M239" s="38" t="s">
        <v>1430</v>
      </c>
      <c r="N239" s="38" t="s">
        <v>1430</v>
      </c>
      <c r="O239" s="38" t="s">
        <v>1430</v>
      </c>
      <c r="P239" s="38" t="s">
        <v>1430</v>
      </c>
      <c r="Q239" s="38" t="s">
        <v>1430</v>
      </c>
      <c r="R239" s="38" t="s">
        <v>1430</v>
      </c>
      <c r="S239" s="38" t="s">
        <v>1430</v>
      </c>
      <c r="T239" s="38" t="s">
        <v>1430</v>
      </c>
      <c r="V239" s="6" t="s">
        <v>1712</v>
      </c>
      <c r="W239" s="18" t="str">
        <f t="shared" ref="W239:W240" si="14">CONCATENATE("['",B239,"', '",C239,"', '",D239,"', '",E239,"', ",F239,", ",G239,", ",H239,", ",I239,", ",J239,", ",K239,", '",L239,"', ",M239,", ",N239,", ",O239,", ",P239,", ",Q239,", ",R239,", ",S239,", ",T239,"], ")</f>
        <v xml:space="preserve">['PBD10', 'PBD10', 'PUERTAS BATIENTES DOBLE DE VIDRIO TEMPLADO INCOLORO DE 10 mm DE ESPESOR ', 'Pza(s).', 0, 0, 0, 0, 0, 0, 'Datos para proforma', 0.00, 0.00, 0.00, 0.00, 0.00, 0.00, 0.00, 0.00], </v>
      </c>
    </row>
    <row r="240" spans="1:23" ht="31.2" x14ac:dyDescent="0.3">
      <c r="A240" s="73">
        <v>234</v>
      </c>
      <c r="B240" s="74" t="s">
        <v>1667</v>
      </c>
      <c r="C240" s="74" t="s">
        <v>1667</v>
      </c>
      <c r="D240" s="88" t="s">
        <v>1669</v>
      </c>
      <c r="E240" s="37" t="s">
        <v>1302</v>
      </c>
      <c r="F240" s="95">
        <v>0</v>
      </c>
      <c r="G240" s="95">
        <v>0</v>
      </c>
      <c r="H240" s="96">
        <v>0</v>
      </c>
      <c r="I240" s="96">
        <v>0</v>
      </c>
      <c r="J240" s="96">
        <v>0</v>
      </c>
      <c r="K240" s="96">
        <v>0</v>
      </c>
      <c r="L240" s="58" t="s">
        <v>1303</v>
      </c>
      <c r="M240" s="38" t="s">
        <v>1430</v>
      </c>
      <c r="N240" s="38" t="s">
        <v>1430</v>
      </c>
      <c r="O240" s="38" t="s">
        <v>1430</v>
      </c>
      <c r="P240" s="38" t="s">
        <v>1430</v>
      </c>
      <c r="Q240" s="38" t="s">
        <v>1430</v>
      </c>
      <c r="R240" s="38" t="s">
        <v>1430</v>
      </c>
      <c r="S240" s="38" t="s">
        <v>1430</v>
      </c>
      <c r="T240" s="38" t="s">
        <v>1430</v>
      </c>
      <c r="V240" s="6" t="s">
        <v>1713</v>
      </c>
      <c r="W240" s="18" t="str">
        <f t="shared" si="14"/>
        <v xml:space="preserve">['PBD10C', 'PBD10C', 'PUERTAS BATIENTES DOBLE DE VIDRIO TEMPLADO COLOR DE 10 mm DE ESPESOR ', 'Pza(s).', 0, 0, 0, 0, 0, 0, 'Datos para proforma', 0.00, 0.00, 0.00, 0.00, 0.00, 0.00, 0.00, 0.00], </v>
      </c>
    </row>
    <row r="241" spans="1:23" ht="31.2" x14ac:dyDescent="0.3">
      <c r="A241" s="73">
        <v>235</v>
      </c>
      <c r="B241" s="74" t="s">
        <v>1672</v>
      </c>
      <c r="C241" s="74" t="s">
        <v>1672</v>
      </c>
      <c r="D241" s="88" t="s">
        <v>1670</v>
      </c>
      <c r="E241" s="37" t="s">
        <v>1302</v>
      </c>
      <c r="F241" s="95">
        <v>0</v>
      </c>
      <c r="G241" s="95">
        <v>0</v>
      </c>
      <c r="H241" s="96">
        <v>0</v>
      </c>
      <c r="I241" s="96">
        <v>0</v>
      </c>
      <c r="J241" s="96">
        <v>0</v>
      </c>
      <c r="K241" s="96">
        <v>0</v>
      </c>
      <c r="L241" s="58" t="s">
        <v>1303</v>
      </c>
      <c r="M241" s="38" t="s">
        <v>1430</v>
      </c>
      <c r="N241" s="38" t="s">
        <v>1430</v>
      </c>
      <c r="O241" s="38" t="s">
        <v>1430</v>
      </c>
      <c r="P241" s="38" t="s">
        <v>1430</v>
      </c>
      <c r="Q241" s="38" t="s">
        <v>1430</v>
      </c>
      <c r="R241" s="38" t="s">
        <v>1430</v>
      </c>
      <c r="S241" s="38" t="s">
        <v>1430</v>
      </c>
      <c r="T241" s="38" t="s">
        <v>1430</v>
      </c>
      <c r="V241" s="6" t="s">
        <v>1714</v>
      </c>
      <c r="W241" s="18" t="str">
        <f t="shared" ref="W241:W242" si="15">CONCATENATE("['",B241,"', '",C241,"', '",D241,"', '",E241,"', ",F241,", ",G241,", ",H241,", ",I241,", ",J241,", ",K241,", '",L241,"', ",M241,", ",N241,", ",O241,", ",P241,", ",Q241,", ",R241,", ",S241,", ",T241,"], ")</f>
        <v xml:space="preserve">['PBDCFL10', 'PBDCFL10', 'PUERTAS BATIENTES CON FIJOS LATERALES DE VIDRIO TEMPLADO INCOLORO DE 10 mm DE ESPESOR ', 'Pza(s).', 0, 0, 0, 0, 0, 0, 'Datos para proforma', 0.00, 0.00, 0.00, 0.00, 0.00, 0.00, 0.00, 0.00], </v>
      </c>
    </row>
    <row r="242" spans="1:23" ht="31.2" x14ac:dyDescent="0.3">
      <c r="A242" s="73">
        <v>236</v>
      </c>
      <c r="B242" s="74" t="s">
        <v>1673</v>
      </c>
      <c r="C242" s="74" t="s">
        <v>1673</v>
      </c>
      <c r="D242" s="88" t="s">
        <v>1671</v>
      </c>
      <c r="E242" s="37" t="s">
        <v>1302</v>
      </c>
      <c r="F242" s="95">
        <v>0</v>
      </c>
      <c r="G242" s="95">
        <v>0</v>
      </c>
      <c r="H242" s="96">
        <v>0</v>
      </c>
      <c r="I242" s="96">
        <v>0</v>
      </c>
      <c r="J242" s="96">
        <v>0</v>
      </c>
      <c r="K242" s="96">
        <v>0</v>
      </c>
      <c r="L242" s="58" t="s">
        <v>1303</v>
      </c>
      <c r="M242" s="38" t="s">
        <v>1430</v>
      </c>
      <c r="N242" s="38" t="s">
        <v>1430</v>
      </c>
      <c r="O242" s="38" t="s">
        <v>1430</v>
      </c>
      <c r="P242" s="38" t="s">
        <v>1430</v>
      </c>
      <c r="Q242" s="38" t="s">
        <v>1430</v>
      </c>
      <c r="R242" s="38" t="s">
        <v>1430</v>
      </c>
      <c r="S242" s="38" t="s">
        <v>1430</v>
      </c>
      <c r="T242" s="38" t="s">
        <v>1430</v>
      </c>
      <c r="V242" s="6" t="s">
        <v>1715</v>
      </c>
      <c r="W242" s="18" t="str">
        <f t="shared" si="15"/>
        <v xml:space="preserve">['PBDCFL10C', 'PBDCFL10C', 'PUERTAS BATIENTES CON FIJOS LATERALES DE VIDRIO TEMPLADO COLOR DE 10 mm DE ESPESOR ', 'Pza(s).', 0, 0, 0, 0, 0, 0, 'Datos para proforma', 0.00, 0.00, 0.00, 0.00, 0.00, 0.00, 0.00, 0.00], </v>
      </c>
    </row>
    <row r="243" spans="1:23" ht="31.2" x14ac:dyDescent="0.3">
      <c r="A243" s="73">
        <v>237</v>
      </c>
      <c r="B243" s="74" t="s">
        <v>1676</v>
      </c>
      <c r="C243" s="74" t="s">
        <v>1676</v>
      </c>
      <c r="D243" s="88" t="s">
        <v>1674</v>
      </c>
      <c r="E243" s="37" t="s">
        <v>1302</v>
      </c>
      <c r="F243" s="95">
        <v>0</v>
      </c>
      <c r="G243" s="95">
        <v>0</v>
      </c>
      <c r="H243" s="96">
        <v>0</v>
      </c>
      <c r="I243" s="96">
        <v>0</v>
      </c>
      <c r="J243" s="96">
        <v>0</v>
      </c>
      <c r="K243" s="96">
        <v>0</v>
      </c>
      <c r="L243" s="58" t="s">
        <v>1303</v>
      </c>
      <c r="M243" s="38" t="s">
        <v>1430</v>
      </c>
      <c r="N243" s="38" t="s">
        <v>1430</v>
      </c>
      <c r="O243" s="38" t="s">
        <v>1430</v>
      </c>
      <c r="P243" s="38" t="s">
        <v>1430</v>
      </c>
      <c r="Q243" s="38" t="s">
        <v>1430</v>
      </c>
      <c r="R243" s="38" t="s">
        <v>1430</v>
      </c>
      <c r="S243" s="38" t="s">
        <v>1430</v>
      </c>
      <c r="T243" s="38" t="s">
        <v>1430</v>
      </c>
      <c r="V243" s="6" t="s">
        <v>1716</v>
      </c>
      <c r="W243" s="18" t="str">
        <f t="shared" ref="W243:W244" si="16">CONCATENATE("['",B243,"', '",C243,"', '",D243,"', '",E243,"', ",F243,", ",G243,", ",H243,", ",I243,", ",J243,", ",K243,", '",L243,"', ",M243,", ",N243,", ",O243,", ",P243,", ",Q243,", ",R243,", ",S243,", ",T243,"], ")</f>
        <v xml:space="preserve">['PBDCFS10', 'PBDCFS10', 'PUERTAS BATIENTES CON FIJOS SUPERIOR DE VIDRIO TEMPLADO INCOLORO DE 10 mm DE ESPESOR ', 'Pza(s).', 0, 0, 0, 0, 0, 0, 'Datos para proforma', 0.00, 0.00, 0.00, 0.00, 0.00, 0.00, 0.00, 0.00], </v>
      </c>
    </row>
    <row r="244" spans="1:23" ht="31.2" x14ac:dyDescent="0.3">
      <c r="A244" s="73">
        <v>238</v>
      </c>
      <c r="B244" s="74" t="s">
        <v>1677</v>
      </c>
      <c r="C244" s="74" t="s">
        <v>1677</v>
      </c>
      <c r="D244" s="88" t="s">
        <v>1675</v>
      </c>
      <c r="E244" s="37" t="s">
        <v>1302</v>
      </c>
      <c r="F244" s="95">
        <v>0</v>
      </c>
      <c r="G244" s="95">
        <v>0</v>
      </c>
      <c r="H244" s="96">
        <v>0</v>
      </c>
      <c r="I244" s="96">
        <v>0</v>
      </c>
      <c r="J244" s="96">
        <v>0</v>
      </c>
      <c r="K244" s="96">
        <v>0</v>
      </c>
      <c r="L244" s="58" t="s">
        <v>1303</v>
      </c>
      <c r="M244" s="38" t="s">
        <v>1430</v>
      </c>
      <c r="N244" s="38" t="s">
        <v>1430</v>
      </c>
      <c r="O244" s="38" t="s">
        <v>1430</v>
      </c>
      <c r="P244" s="38" t="s">
        <v>1430</v>
      </c>
      <c r="Q244" s="38" t="s">
        <v>1430</v>
      </c>
      <c r="R244" s="38" t="s">
        <v>1430</v>
      </c>
      <c r="S244" s="38" t="s">
        <v>1430</v>
      </c>
      <c r="T244" s="38" t="s">
        <v>1430</v>
      </c>
      <c r="V244" s="6" t="s">
        <v>1717</v>
      </c>
      <c r="W244" s="18" t="str">
        <f t="shared" si="16"/>
        <v xml:space="preserve">['PBDCFS10C', 'PBDCFS10C', 'PUERTAS BATIENTES CON FIJOS SUPERIOR DE VIDRIO TEMPLADO COLOR DE 10 mm DE ESPESOR ', 'Pza(s).', 0, 0, 0, 0, 0, 0, 'Datos para proforma', 0.00, 0.00, 0.00, 0.00, 0.00, 0.00, 0.00, 0.00], </v>
      </c>
    </row>
    <row r="245" spans="1:23" ht="31.2" x14ac:dyDescent="0.3">
      <c r="A245" s="73">
        <v>239</v>
      </c>
      <c r="B245" s="74" t="s">
        <v>1678</v>
      </c>
      <c r="C245" s="74" t="s">
        <v>1678</v>
      </c>
      <c r="D245" s="88" t="s">
        <v>1680</v>
      </c>
      <c r="E245" s="37" t="s">
        <v>1302</v>
      </c>
      <c r="F245" s="95">
        <v>0</v>
      </c>
      <c r="G245" s="95">
        <v>0</v>
      </c>
      <c r="H245" s="96">
        <v>0</v>
      </c>
      <c r="I245" s="96">
        <v>0</v>
      </c>
      <c r="J245" s="96">
        <v>0</v>
      </c>
      <c r="K245" s="96">
        <v>0</v>
      </c>
      <c r="L245" s="58" t="s">
        <v>1303</v>
      </c>
      <c r="M245" s="38" t="s">
        <v>1430</v>
      </c>
      <c r="N245" s="38" t="s">
        <v>1430</v>
      </c>
      <c r="O245" s="38" t="s">
        <v>1430</v>
      </c>
      <c r="P245" s="38" t="s">
        <v>1430</v>
      </c>
      <c r="Q245" s="38" t="s">
        <v>1430</v>
      </c>
      <c r="R245" s="38" t="s">
        <v>1430</v>
      </c>
      <c r="S245" s="38" t="s">
        <v>1430</v>
      </c>
      <c r="T245" s="38" t="s">
        <v>1430</v>
      </c>
      <c r="V245" s="6" t="s">
        <v>1718</v>
      </c>
      <c r="W245" s="18" t="str">
        <f t="shared" ref="W245:W248" si="17">CONCATENATE("['",B245,"', '",C245,"', '",D245,"', '",E245,"', ",F245,", ",G245,", ",H245,", ",I245,", ",J245,", ",K245,", '",L245,"', ",M245,", ",N245,", ",O245,", ",P245,", ",Q245,", ",R245,", ",S245,", ",T245,"], ")</f>
        <v xml:space="preserve">['PBDCFLS10', 'PBDCFLS10', 'PUERTAS BATIENTES CON FIJOS LATERAL Y SUPERIOR DE VIDRIO TEMPLADO INCOLORO DE 10 mm DE ESPESOR ', 'Pza(s).', 0, 0, 0, 0, 0, 0, 'Datos para proforma', 0.00, 0.00, 0.00, 0.00, 0.00, 0.00, 0.00, 0.00], </v>
      </c>
    </row>
    <row r="246" spans="1:23" ht="31.2" x14ac:dyDescent="0.3">
      <c r="A246" s="73">
        <v>240</v>
      </c>
      <c r="B246" s="74" t="s">
        <v>1679</v>
      </c>
      <c r="C246" s="74" t="s">
        <v>1679</v>
      </c>
      <c r="D246" s="88" t="s">
        <v>1681</v>
      </c>
      <c r="E246" s="37" t="s">
        <v>1302</v>
      </c>
      <c r="F246" s="95">
        <v>0</v>
      </c>
      <c r="G246" s="95">
        <v>0</v>
      </c>
      <c r="H246" s="96">
        <v>0</v>
      </c>
      <c r="I246" s="96">
        <v>0</v>
      </c>
      <c r="J246" s="96">
        <v>0</v>
      </c>
      <c r="K246" s="96">
        <v>0</v>
      </c>
      <c r="L246" s="58" t="s">
        <v>1303</v>
      </c>
      <c r="M246" s="38" t="s">
        <v>1430</v>
      </c>
      <c r="N246" s="38" t="s">
        <v>1430</v>
      </c>
      <c r="O246" s="38" t="s">
        <v>1430</v>
      </c>
      <c r="P246" s="38" t="s">
        <v>1430</v>
      </c>
      <c r="Q246" s="38" t="s">
        <v>1430</v>
      </c>
      <c r="R246" s="38" t="s">
        <v>1430</v>
      </c>
      <c r="S246" s="38" t="s">
        <v>1430</v>
      </c>
      <c r="T246" s="38" t="s">
        <v>1430</v>
      </c>
      <c r="V246" s="6" t="s">
        <v>1719</v>
      </c>
      <c r="W246" s="18" t="str">
        <f t="shared" si="17"/>
        <v xml:space="preserve">['PBDCFLS10C', 'PBDCFLS10C', 'PUERTAS BATIENTES CON FIJOS LATERAL Y SUPERIOR DE VIDRIO TEMPLADO COLOR DE 10 mm DE ESPESOR ', 'Pza(s).', 0, 0, 0, 0, 0, 0, 'Datos para proforma', 0.00, 0.00, 0.00, 0.00, 0.00, 0.00, 0.00, 0.00], </v>
      </c>
    </row>
    <row r="247" spans="1:23" ht="31.2" x14ac:dyDescent="0.3">
      <c r="A247" s="73">
        <v>241</v>
      </c>
      <c r="B247" s="74" t="s">
        <v>1682</v>
      </c>
      <c r="C247" s="74" t="s">
        <v>1682</v>
      </c>
      <c r="D247" s="88" t="s">
        <v>1684</v>
      </c>
      <c r="E247" s="37" t="s">
        <v>1302</v>
      </c>
      <c r="F247" s="95">
        <v>0</v>
      </c>
      <c r="G247" s="95">
        <v>0</v>
      </c>
      <c r="H247" s="96">
        <v>0</v>
      </c>
      <c r="I247" s="96">
        <v>0</v>
      </c>
      <c r="J247" s="96">
        <v>0</v>
      </c>
      <c r="K247" s="96">
        <v>0</v>
      </c>
      <c r="L247" s="58" t="s">
        <v>1303</v>
      </c>
      <c r="M247" s="38" t="s">
        <v>1430</v>
      </c>
      <c r="N247" s="38" t="s">
        <v>1430</v>
      </c>
      <c r="O247" s="38" t="s">
        <v>1430</v>
      </c>
      <c r="P247" s="38" t="s">
        <v>1430</v>
      </c>
      <c r="Q247" s="38" t="s">
        <v>1430</v>
      </c>
      <c r="R247" s="38" t="s">
        <v>1430</v>
      </c>
      <c r="S247" s="38" t="s">
        <v>1430</v>
      </c>
      <c r="T247" s="38" t="s">
        <v>1430</v>
      </c>
      <c r="V247" s="6" t="s">
        <v>1720</v>
      </c>
      <c r="W247" s="18" t="str">
        <f t="shared" si="17"/>
        <v xml:space="preserve">['PBSCFLS10', 'PBSCFLS10', 'PUERTAS BATIENTES SIMPLE CON FIJOS LATERAL Y SUPERIOR DE VIDRIO TEMPLADO INCOLORO DE 10 mm DE ESPESOR ', 'Pza(s).', 0, 0, 0, 0, 0, 0, 'Datos para proforma', 0.00, 0.00, 0.00, 0.00, 0.00, 0.00, 0.00, 0.00], </v>
      </c>
    </row>
    <row r="248" spans="1:23" ht="31.2" x14ac:dyDescent="0.3">
      <c r="A248" s="73">
        <v>242</v>
      </c>
      <c r="B248" s="74" t="s">
        <v>1683</v>
      </c>
      <c r="C248" s="74" t="s">
        <v>1683</v>
      </c>
      <c r="D248" s="88" t="s">
        <v>1685</v>
      </c>
      <c r="E248" s="37" t="s">
        <v>1302</v>
      </c>
      <c r="F248" s="95">
        <v>0</v>
      </c>
      <c r="G248" s="95">
        <v>0</v>
      </c>
      <c r="H248" s="96">
        <v>0</v>
      </c>
      <c r="I248" s="96">
        <v>0</v>
      </c>
      <c r="J248" s="96">
        <v>0</v>
      </c>
      <c r="K248" s="96">
        <v>0</v>
      </c>
      <c r="L248" s="58" t="s">
        <v>1303</v>
      </c>
      <c r="M248" s="38" t="s">
        <v>1430</v>
      </c>
      <c r="N248" s="38" t="s">
        <v>1430</v>
      </c>
      <c r="O248" s="38" t="s">
        <v>1430</v>
      </c>
      <c r="P248" s="38" t="s">
        <v>1430</v>
      </c>
      <c r="Q248" s="38" t="s">
        <v>1430</v>
      </c>
      <c r="R248" s="38" t="s">
        <v>1430</v>
      </c>
      <c r="S248" s="38" t="s">
        <v>1430</v>
      </c>
      <c r="T248" s="38" t="s">
        <v>1430</v>
      </c>
      <c r="V248" s="6" t="s">
        <v>1721</v>
      </c>
      <c r="W248" s="18" t="str">
        <f t="shared" si="17"/>
        <v xml:space="preserve">['PBSCFLS10C', 'PBSCFLS10C', 'PUERTAS BATIENTES SIMPLE CON FIJOS LATERAL Y SUPERIOR DE VIDRIO TEMPLADO COLOR DE 10 mm DE ESPESOR ', 'Pza(s).', 0, 0, 0, 0, 0, 0, 'Datos para proforma', 0.00, 0.00, 0.00, 0.00, 0.00, 0.00, 0.00, 0.00], </v>
      </c>
    </row>
  </sheetData>
  <mergeCells count="2">
    <mergeCell ref="F3:G3"/>
    <mergeCell ref="A3:A5"/>
  </mergeCells>
  <phoneticPr fontId="9" type="noConversion"/>
  <pageMargins left="0.19685039370078741" right="0.15748031496062992" top="0.3" bottom="0.41" header="0" footer="0"/>
  <pageSetup paperSize="345" scale="41" fitToHeight="0" orientation="landscape" horizontalDpi="180" verticalDpi="14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Costo M.P.yMat.</vt:lpstr>
      <vt:lpstr>Costo M.P.yMat. (2)</vt:lpstr>
      <vt:lpstr>'Costo M.P.yMat.'!Área_de_impresión</vt:lpstr>
      <vt:lpstr>'Costo M.P.yMat. (2)'!Área_de_impresión</vt:lpstr>
      <vt:lpstr>'Costo M.P.yMat. (2)'!Títulos_a_imprimir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Antequera Caballero</dc:creator>
  <cp:lastModifiedBy>Rafael Antequera Caballero</cp:lastModifiedBy>
  <cp:lastPrinted>2024-05-17T19:49:39Z</cp:lastPrinted>
  <dcterms:created xsi:type="dcterms:W3CDTF">2024-04-04T19:28:30Z</dcterms:created>
  <dcterms:modified xsi:type="dcterms:W3CDTF">2024-05-21T21:27:53Z</dcterms:modified>
</cp:coreProperties>
</file>