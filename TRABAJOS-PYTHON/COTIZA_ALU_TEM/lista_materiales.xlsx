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8_{413D569F-775B-4371-9BB7-1AAC5C918441}" xr6:coauthVersionLast="47" xr6:coauthVersionMax="47" xr10:uidLastSave="{00000000-0000-0000-0000-000000000000}"/>
  <bookViews>
    <workbookView xWindow="-108" yWindow="-108" windowWidth="23256" windowHeight="12456" xr2:uid="{1B3D5D76-0D2B-4247-8E51-F5AC57810600}"/>
  </bookViews>
  <sheets>
    <sheet name="Costo M.P.yMat.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" l="1"/>
  <c r="E198" i="1"/>
  <c r="D198" i="1"/>
  <c r="E197" i="1"/>
  <c r="D197" i="1"/>
  <c r="G196" i="1"/>
  <c r="F196" i="1"/>
  <c r="E196" i="1"/>
  <c r="D196" i="1"/>
  <c r="J195" i="1"/>
  <c r="G195" i="1"/>
  <c r="F195" i="1"/>
  <c r="E195" i="1"/>
  <c r="D195" i="1"/>
  <c r="J194" i="1"/>
  <c r="G194" i="1"/>
  <c r="F194" i="1"/>
  <c r="E194" i="1"/>
  <c r="D194" i="1"/>
  <c r="J193" i="1"/>
  <c r="G193" i="1"/>
  <c r="F193" i="1"/>
  <c r="E193" i="1"/>
  <c r="D193" i="1"/>
  <c r="J192" i="1"/>
  <c r="G192" i="1"/>
  <c r="F192" i="1"/>
  <c r="E192" i="1"/>
  <c r="D192" i="1"/>
  <c r="G190" i="1"/>
  <c r="G191" i="1"/>
  <c r="F190" i="1"/>
  <c r="F191" i="1"/>
  <c r="E190" i="1"/>
  <c r="E191" i="1"/>
  <c r="D190" i="1"/>
  <c r="D191" i="1"/>
  <c r="G189" i="1"/>
  <c r="F189" i="1"/>
  <c r="E189" i="1"/>
  <c r="D189" i="1"/>
  <c r="G188" i="1"/>
  <c r="E188" i="1"/>
  <c r="F188" i="1"/>
  <c r="D188" i="1"/>
  <c r="I188" i="1"/>
  <c r="G187" i="1"/>
  <c r="E187" i="1"/>
  <c r="F187" i="1"/>
  <c r="D187" i="1"/>
  <c r="I187" i="1"/>
  <c r="G105" i="1"/>
  <c r="F105" i="1"/>
  <c r="E105" i="1"/>
  <c r="D105" i="1"/>
  <c r="G186" i="1"/>
  <c r="E186" i="1"/>
  <c r="F186" i="1"/>
  <c r="D186" i="1"/>
  <c r="I186" i="1"/>
  <c r="G185" i="1"/>
  <c r="E185" i="1"/>
  <c r="F185" i="1"/>
  <c r="D185" i="1"/>
  <c r="I185" i="1"/>
  <c r="G184" i="1"/>
  <c r="F184" i="1"/>
  <c r="E184" i="1"/>
  <c r="D184" i="1"/>
  <c r="E183" i="1"/>
  <c r="F183" i="1"/>
  <c r="D183" i="1"/>
  <c r="I183" i="1"/>
  <c r="G182" i="1"/>
  <c r="F182" i="1"/>
  <c r="E182" i="1"/>
  <c r="D182" i="1"/>
  <c r="G181" i="1"/>
  <c r="E181" i="1"/>
  <c r="F181" i="1"/>
  <c r="D181" i="1"/>
  <c r="I181" i="1"/>
  <c r="G180" i="1"/>
  <c r="E180" i="1"/>
  <c r="F180" i="1"/>
  <c r="D180" i="1"/>
  <c r="I180" i="1"/>
  <c r="G179" i="1"/>
  <c r="E179" i="1"/>
  <c r="F179" i="1"/>
  <c r="D179" i="1"/>
  <c r="I179" i="1"/>
  <c r="E178" i="1"/>
  <c r="F178" i="1"/>
  <c r="D178" i="1"/>
  <c r="I178" i="1"/>
  <c r="E177" i="1"/>
  <c r="F177" i="1"/>
  <c r="D177" i="1"/>
  <c r="I177" i="1"/>
  <c r="E176" i="1"/>
  <c r="F176" i="1"/>
  <c r="D176" i="1"/>
  <c r="I176" i="1"/>
  <c r="E175" i="1"/>
  <c r="F175" i="1"/>
  <c r="D175" i="1"/>
  <c r="I175" i="1"/>
  <c r="E174" i="1"/>
  <c r="F174" i="1"/>
  <c r="D174" i="1"/>
  <c r="I174" i="1"/>
  <c r="E173" i="1"/>
  <c r="F173" i="1"/>
  <c r="D173" i="1"/>
  <c r="I173" i="1"/>
  <c r="E172" i="1"/>
  <c r="D172" i="1"/>
  <c r="I172" i="1"/>
  <c r="E171" i="1"/>
  <c r="D171" i="1"/>
  <c r="I171" i="1"/>
  <c r="E170" i="1"/>
  <c r="D170" i="1"/>
  <c r="I170" i="1"/>
  <c r="E169" i="1"/>
  <c r="D169" i="1"/>
  <c r="I169" i="1"/>
  <c r="E168" i="1"/>
  <c r="F168" i="1"/>
  <c r="D168" i="1"/>
  <c r="I168" i="1"/>
  <c r="E167" i="1"/>
  <c r="D167" i="1"/>
  <c r="I167" i="1"/>
  <c r="E166" i="1"/>
  <c r="D166" i="1"/>
  <c r="I166" i="1"/>
  <c r="F165" i="1"/>
  <c r="G165" i="1"/>
  <c r="E165" i="1"/>
  <c r="D165" i="1"/>
  <c r="I165" i="1"/>
  <c r="F164" i="1"/>
  <c r="G164" i="1"/>
  <c r="E164" i="1"/>
  <c r="D164" i="1"/>
  <c r="I164" i="1"/>
  <c r="E163" i="1"/>
  <c r="D163" i="1"/>
  <c r="I163" i="1"/>
  <c r="E162" i="1"/>
  <c r="D162" i="1"/>
  <c r="I162" i="1"/>
  <c r="G161" i="1"/>
  <c r="E161" i="1"/>
  <c r="D161" i="1"/>
  <c r="I161" i="1"/>
  <c r="E160" i="1"/>
  <c r="D160" i="1"/>
  <c r="I160" i="1"/>
  <c r="E159" i="1"/>
  <c r="F159" i="1"/>
  <c r="D159" i="1"/>
  <c r="I159" i="1"/>
  <c r="E158" i="1"/>
  <c r="F158" i="1"/>
  <c r="D158" i="1"/>
  <c r="I158" i="1"/>
  <c r="E157" i="1"/>
  <c r="F157" i="1"/>
  <c r="D157" i="1"/>
  <c r="I157" i="1"/>
  <c r="E156" i="1"/>
  <c r="F156" i="1"/>
  <c r="D156" i="1"/>
  <c r="I156" i="1"/>
  <c r="E155" i="1"/>
  <c r="D155" i="1"/>
  <c r="I155" i="1"/>
  <c r="E154" i="1"/>
  <c r="F154" i="1"/>
  <c r="D154" i="1"/>
  <c r="I154" i="1"/>
  <c r="E153" i="1"/>
  <c r="F153" i="1"/>
  <c r="D153" i="1"/>
  <c r="I153" i="1"/>
  <c r="G152" i="1"/>
  <c r="E152" i="1"/>
  <c r="D152" i="1"/>
  <c r="I152" i="1"/>
  <c r="G151" i="1"/>
  <c r="E151" i="1"/>
  <c r="D151" i="1"/>
  <c r="I151" i="1"/>
  <c r="G150" i="1"/>
  <c r="E150" i="1"/>
  <c r="D150" i="1"/>
  <c r="I150" i="1"/>
  <c r="G149" i="1"/>
  <c r="E149" i="1"/>
  <c r="D149" i="1"/>
  <c r="I149" i="1"/>
  <c r="G148" i="1"/>
  <c r="E148" i="1"/>
  <c r="D148" i="1"/>
  <c r="I148" i="1"/>
  <c r="G147" i="1"/>
  <c r="E147" i="1"/>
  <c r="D147" i="1"/>
  <c r="I147" i="1"/>
  <c r="G146" i="1"/>
  <c r="E146" i="1"/>
  <c r="D146" i="1"/>
  <c r="I146" i="1"/>
  <c r="G145" i="1"/>
  <c r="E145" i="1"/>
  <c r="D145" i="1"/>
  <c r="I145" i="1"/>
  <c r="G144" i="1"/>
  <c r="E144" i="1"/>
  <c r="D144" i="1"/>
  <c r="I144" i="1"/>
  <c r="G143" i="1"/>
  <c r="E143" i="1"/>
  <c r="D143" i="1"/>
  <c r="I143" i="1"/>
  <c r="E142" i="1"/>
  <c r="F142" i="1"/>
  <c r="D142" i="1"/>
  <c r="I142" i="1"/>
  <c r="E141" i="1"/>
  <c r="F141" i="1"/>
  <c r="D141" i="1"/>
  <c r="I141" i="1"/>
  <c r="E140" i="1"/>
  <c r="F140" i="1"/>
  <c r="D140" i="1"/>
  <c r="I140" i="1"/>
  <c r="E139" i="1"/>
  <c r="F139" i="1"/>
  <c r="D139" i="1"/>
  <c r="I139" i="1"/>
  <c r="E138" i="1"/>
  <c r="F138" i="1"/>
  <c r="D138" i="1"/>
  <c r="I138" i="1"/>
  <c r="E137" i="1"/>
  <c r="F137" i="1"/>
  <c r="D137" i="1"/>
  <c r="I137" i="1"/>
  <c r="E136" i="1"/>
  <c r="F136" i="1"/>
  <c r="D136" i="1"/>
  <c r="I136" i="1"/>
  <c r="E135" i="1"/>
  <c r="F135" i="1"/>
  <c r="D135" i="1"/>
  <c r="I135" i="1"/>
  <c r="G134" i="1"/>
  <c r="E134" i="1"/>
  <c r="D134" i="1"/>
  <c r="I134" i="1"/>
  <c r="G133" i="1"/>
  <c r="E133" i="1"/>
  <c r="D133" i="1"/>
  <c r="I133" i="1"/>
  <c r="G132" i="1"/>
  <c r="E132" i="1"/>
  <c r="D132" i="1"/>
  <c r="I132" i="1"/>
  <c r="G131" i="1"/>
  <c r="E131" i="1"/>
  <c r="D131" i="1"/>
  <c r="I131" i="1"/>
  <c r="G130" i="1"/>
  <c r="E130" i="1"/>
  <c r="D130" i="1"/>
  <c r="I130" i="1"/>
  <c r="G129" i="1"/>
  <c r="E129" i="1"/>
  <c r="D129" i="1"/>
  <c r="I129" i="1"/>
  <c r="G128" i="1"/>
  <c r="E128" i="1"/>
  <c r="D128" i="1"/>
  <c r="I128" i="1"/>
  <c r="G127" i="1"/>
  <c r="E127" i="1"/>
  <c r="D127" i="1"/>
  <c r="I127" i="1"/>
  <c r="G126" i="1"/>
  <c r="E126" i="1"/>
  <c r="D126" i="1"/>
  <c r="I126" i="1"/>
  <c r="G125" i="1"/>
  <c r="E125" i="1"/>
  <c r="D125" i="1"/>
  <c r="I125" i="1"/>
  <c r="G124" i="1"/>
  <c r="E124" i="1"/>
  <c r="D124" i="1"/>
  <c r="I124" i="1"/>
  <c r="G123" i="1"/>
  <c r="E123" i="1"/>
  <c r="D123" i="1"/>
  <c r="I123" i="1"/>
  <c r="G122" i="1"/>
  <c r="E122" i="1"/>
  <c r="D122" i="1"/>
  <c r="I122" i="1"/>
  <c r="G121" i="1"/>
  <c r="E121" i="1"/>
  <c r="D121" i="1"/>
  <c r="I121" i="1"/>
  <c r="G120" i="1"/>
  <c r="E120" i="1"/>
  <c r="D120" i="1"/>
  <c r="I120" i="1"/>
  <c r="G119" i="1"/>
  <c r="E119" i="1"/>
  <c r="D119" i="1"/>
  <c r="I119" i="1"/>
  <c r="F118" i="1"/>
  <c r="G118" i="1"/>
  <c r="E118" i="1"/>
  <c r="D118" i="1"/>
  <c r="I118" i="1"/>
  <c r="E117" i="1"/>
  <c r="D117" i="1"/>
  <c r="E116" i="1"/>
  <c r="D116" i="1"/>
  <c r="E115" i="1"/>
  <c r="D115" i="1"/>
  <c r="F114" i="1"/>
  <c r="G114" i="1"/>
  <c r="E114" i="1"/>
  <c r="D114" i="1"/>
  <c r="I114" i="1"/>
  <c r="F113" i="1"/>
  <c r="G113" i="1"/>
  <c r="E113" i="1"/>
  <c r="D113" i="1"/>
  <c r="I113" i="1"/>
  <c r="F112" i="1"/>
  <c r="G112" i="1"/>
  <c r="E112" i="1"/>
  <c r="D112" i="1"/>
  <c r="I112" i="1"/>
  <c r="F111" i="1"/>
  <c r="G111" i="1"/>
  <c r="E111" i="1"/>
  <c r="D111" i="1"/>
  <c r="I111" i="1"/>
  <c r="G110" i="1"/>
  <c r="E110" i="1"/>
  <c r="F110" i="1"/>
  <c r="D110" i="1"/>
  <c r="I110" i="1"/>
  <c r="G109" i="1"/>
  <c r="E109" i="1"/>
  <c r="F109" i="1"/>
  <c r="D109" i="1"/>
  <c r="I109" i="1"/>
  <c r="G108" i="1"/>
  <c r="E108" i="1"/>
  <c r="F108" i="1"/>
  <c r="D108" i="1"/>
  <c r="I108" i="1"/>
  <c r="G107" i="1"/>
  <c r="E107" i="1"/>
  <c r="F107" i="1"/>
  <c r="D107" i="1"/>
  <c r="I107" i="1"/>
  <c r="J106" i="1"/>
  <c r="G106" i="1"/>
  <c r="E106" i="1"/>
  <c r="F106" i="1"/>
  <c r="D106" i="1"/>
  <c r="I106" i="1"/>
  <c r="J105" i="1"/>
  <c r="I105" i="1"/>
  <c r="J104" i="1"/>
  <c r="G104" i="1"/>
  <c r="E104" i="1"/>
  <c r="F104" i="1"/>
  <c r="D104" i="1"/>
  <c r="I104" i="1"/>
  <c r="G103" i="1"/>
  <c r="E103" i="1"/>
  <c r="F103" i="1"/>
  <c r="D103" i="1"/>
  <c r="I103" i="1"/>
  <c r="F102" i="1"/>
  <c r="G102" i="1"/>
  <c r="E102" i="1"/>
  <c r="D102" i="1"/>
  <c r="I102" i="1"/>
  <c r="F101" i="1"/>
  <c r="G101" i="1"/>
  <c r="E101" i="1"/>
  <c r="D101" i="1"/>
  <c r="I101" i="1"/>
  <c r="G89" i="1"/>
  <c r="E89" i="1"/>
  <c r="D89" i="1"/>
  <c r="I89" i="1"/>
  <c r="E88" i="1"/>
  <c r="D88" i="1"/>
  <c r="I88" i="1"/>
  <c r="E87" i="1"/>
  <c r="D87" i="1"/>
  <c r="I87" i="1"/>
  <c r="F86" i="1"/>
  <c r="G86" i="1"/>
  <c r="E86" i="1"/>
  <c r="D86" i="1"/>
  <c r="I86" i="1"/>
  <c r="F85" i="1"/>
  <c r="G85" i="1"/>
  <c r="E85" i="1"/>
  <c r="D85" i="1"/>
  <c r="I85" i="1"/>
  <c r="F84" i="1"/>
  <c r="G84" i="1"/>
  <c r="E84" i="1"/>
  <c r="D84" i="1"/>
  <c r="I84" i="1"/>
  <c r="F83" i="1"/>
  <c r="G83" i="1"/>
  <c r="E83" i="1"/>
  <c r="D83" i="1"/>
  <c r="I83" i="1"/>
  <c r="F82" i="1"/>
  <c r="G82" i="1"/>
  <c r="E82" i="1"/>
  <c r="D82" i="1"/>
  <c r="I82" i="1"/>
  <c r="F81" i="1"/>
  <c r="G81" i="1"/>
  <c r="E81" i="1"/>
  <c r="D81" i="1"/>
  <c r="I81" i="1"/>
  <c r="F80" i="1"/>
  <c r="G80" i="1"/>
  <c r="E80" i="1"/>
  <c r="D80" i="1"/>
  <c r="I80" i="1"/>
  <c r="F79" i="1"/>
  <c r="G79" i="1"/>
  <c r="E79" i="1"/>
  <c r="D79" i="1"/>
  <c r="I79" i="1"/>
  <c r="F78" i="1"/>
  <c r="G78" i="1"/>
  <c r="E78" i="1"/>
  <c r="D78" i="1"/>
  <c r="I78" i="1"/>
  <c r="F77" i="1"/>
  <c r="G77" i="1"/>
  <c r="E77" i="1"/>
  <c r="D77" i="1"/>
  <c r="I77" i="1"/>
  <c r="F76" i="1"/>
  <c r="G76" i="1"/>
  <c r="E76" i="1"/>
  <c r="D76" i="1"/>
  <c r="I76" i="1"/>
  <c r="F75" i="1"/>
  <c r="G75" i="1"/>
  <c r="E75" i="1"/>
  <c r="D75" i="1"/>
  <c r="I75" i="1"/>
  <c r="F74" i="1"/>
  <c r="G74" i="1"/>
  <c r="E74" i="1"/>
  <c r="D74" i="1"/>
  <c r="I74" i="1"/>
  <c r="F73" i="1"/>
  <c r="G73" i="1"/>
  <c r="E73" i="1"/>
  <c r="D73" i="1"/>
  <c r="I73" i="1"/>
  <c r="F72" i="1"/>
  <c r="G72" i="1"/>
  <c r="E72" i="1"/>
  <c r="D72" i="1"/>
  <c r="I72" i="1"/>
  <c r="F71" i="1"/>
  <c r="G71" i="1"/>
  <c r="E71" i="1"/>
  <c r="D71" i="1"/>
  <c r="I71" i="1"/>
  <c r="F70" i="1"/>
  <c r="G70" i="1"/>
  <c r="E70" i="1"/>
  <c r="D70" i="1"/>
  <c r="I70" i="1"/>
  <c r="F69" i="1"/>
  <c r="G69" i="1"/>
  <c r="E69" i="1"/>
  <c r="D69" i="1"/>
  <c r="I69" i="1"/>
  <c r="F68" i="1"/>
  <c r="G68" i="1"/>
  <c r="E68" i="1"/>
  <c r="D68" i="1"/>
  <c r="I68" i="1"/>
  <c r="F67" i="1"/>
  <c r="G67" i="1"/>
  <c r="E67" i="1"/>
  <c r="D67" i="1"/>
  <c r="I67" i="1"/>
  <c r="F66" i="1"/>
  <c r="G66" i="1"/>
  <c r="E66" i="1"/>
  <c r="D66" i="1"/>
  <c r="I66" i="1"/>
  <c r="F65" i="1"/>
  <c r="G65" i="1"/>
  <c r="E65" i="1"/>
  <c r="D65" i="1"/>
  <c r="I65" i="1"/>
  <c r="F64" i="1"/>
  <c r="G64" i="1"/>
  <c r="E64" i="1"/>
  <c r="D64" i="1"/>
  <c r="I64" i="1"/>
  <c r="F63" i="1"/>
  <c r="G63" i="1"/>
  <c r="E63" i="1"/>
  <c r="D63" i="1"/>
  <c r="I63" i="1"/>
  <c r="F62" i="1"/>
  <c r="G62" i="1"/>
  <c r="E62" i="1"/>
  <c r="D62" i="1"/>
  <c r="I62" i="1"/>
  <c r="F61" i="1"/>
  <c r="G61" i="1"/>
  <c r="E61" i="1"/>
  <c r="D61" i="1"/>
  <c r="I61" i="1"/>
  <c r="F60" i="1"/>
  <c r="G60" i="1"/>
  <c r="E60" i="1"/>
  <c r="D60" i="1"/>
  <c r="I60" i="1"/>
  <c r="F59" i="1"/>
  <c r="G59" i="1"/>
  <c r="E59" i="1"/>
  <c r="D59" i="1"/>
  <c r="I59" i="1"/>
  <c r="F58" i="1"/>
  <c r="G58" i="1"/>
  <c r="E58" i="1"/>
  <c r="D58" i="1"/>
  <c r="I58" i="1"/>
  <c r="F57" i="1"/>
  <c r="G57" i="1"/>
  <c r="E57" i="1"/>
  <c r="D57" i="1"/>
  <c r="I57" i="1"/>
  <c r="F56" i="1"/>
  <c r="G56" i="1"/>
  <c r="E56" i="1"/>
  <c r="D56" i="1"/>
  <c r="I56" i="1"/>
  <c r="F55" i="1"/>
  <c r="G55" i="1"/>
  <c r="E55" i="1"/>
  <c r="D55" i="1"/>
  <c r="I55" i="1"/>
  <c r="F54" i="1"/>
  <c r="G54" i="1"/>
  <c r="E54" i="1"/>
  <c r="D54" i="1"/>
  <c r="I54" i="1"/>
  <c r="F53" i="1"/>
  <c r="G53" i="1"/>
  <c r="E53" i="1"/>
  <c r="D53" i="1"/>
  <c r="I53" i="1"/>
  <c r="F52" i="1"/>
  <c r="G52" i="1"/>
  <c r="E52" i="1"/>
  <c r="D52" i="1"/>
  <c r="I52" i="1"/>
  <c r="F51" i="1"/>
  <c r="G51" i="1"/>
  <c r="E51" i="1"/>
  <c r="D51" i="1"/>
  <c r="I51" i="1"/>
  <c r="E50" i="1"/>
  <c r="D50" i="1"/>
  <c r="I50" i="1"/>
  <c r="E49" i="1"/>
  <c r="D49" i="1"/>
  <c r="I49" i="1"/>
  <c r="E48" i="1"/>
  <c r="F48" i="1"/>
  <c r="D48" i="1"/>
  <c r="I48" i="1"/>
  <c r="E47" i="1"/>
  <c r="F47" i="1"/>
  <c r="D47" i="1"/>
  <c r="I47" i="1"/>
  <c r="E46" i="1"/>
  <c r="F46" i="1"/>
  <c r="D46" i="1"/>
  <c r="I46" i="1"/>
  <c r="E45" i="1"/>
  <c r="F45" i="1"/>
  <c r="D45" i="1"/>
  <c r="I45" i="1"/>
  <c r="E44" i="1"/>
  <c r="F44" i="1"/>
  <c r="D44" i="1"/>
  <c r="I44" i="1"/>
  <c r="L43" i="1"/>
  <c r="J43" i="1"/>
  <c r="F43" i="1"/>
  <c r="G43" i="1"/>
  <c r="E43" i="1"/>
  <c r="D43" i="1"/>
  <c r="I43" i="1"/>
  <c r="L42" i="1"/>
  <c r="J42" i="1"/>
  <c r="F42" i="1"/>
  <c r="G42" i="1"/>
  <c r="E42" i="1"/>
  <c r="D42" i="1"/>
  <c r="I42" i="1"/>
  <c r="L41" i="1"/>
  <c r="J41" i="1"/>
  <c r="F41" i="1"/>
  <c r="G41" i="1"/>
  <c r="E41" i="1"/>
  <c r="D41" i="1"/>
  <c r="I41" i="1"/>
  <c r="E40" i="1"/>
  <c r="D40" i="1"/>
  <c r="I40" i="1"/>
  <c r="E39" i="1"/>
  <c r="D39" i="1"/>
  <c r="I39" i="1"/>
  <c r="E38" i="1"/>
  <c r="D38" i="1"/>
  <c r="I38" i="1"/>
  <c r="E37" i="1"/>
  <c r="D37" i="1"/>
  <c r="I37" i="1"/>
  <c r="E36" i="1"/>
  <c r="D36" i="1"/>
  <c r="I36" i="1"/>
  <c r="K35" i="1"/>
  <c r="G35" i="1"/>
  <c r="E35" i="1"/>
  <c r="F35" i="1"/>
  <c r="D35" i="1"/>
  <c r="I35" i="1"/>
  <c r="K34" i="1"/>
  <c r="G34" i="1"/>
  <c r="E34" i="1"/>
  <c r="F34" i="1"/>
  <c r="D34" i="1"/>
  <c r="I34" i="1"/>
  <c r="E33" i="1"/>
  <c r="D33" i="1"/>
  <c r="I33" i="1"/>
  <c r="E32" i="1"/>
  <c r="D32" i="1"/>
  <c r="I32" i="1"/>
  <c r="E31" i="1"/>
  <c r="D31" i="1"/>
  <c r="I31" i="1"/>
  <c r="N30" i="1"/>
  <c r="K30" i="1"/>
  <c r="G30" i="1"/>
  <c r="E30" i="1"/>
  <c r="F30" i="1"/>
  <c r="D30" i="1"/>
  <c r="I30" i="1"/>
  <c r="N29" i="1"/>
  <c r="K29" i="1"/>
  <c r="G29" i="1"/>
  <c r="E29" i="1"/>
  <c r="F29" i="1"/>
  <c r="D29" i="1"/>
  <c r="I29" i="1"/>
  <c r="F22" i="1"/>
  <c r="G22" i="1"/>
  <c r="E22" i="1"/>
  <c r="D22" i="1"/>
  <c r="I22" i="1"/>
  <c r="E21" i="1"/>
  <c r="D21" i="1"/>
  <c r="I21" i="1"/>
  <c r="E20" i="1"/>
  <c r="D20" i="1"/>
  <c r="I20" i="1"/>
  <c r="E19" i="1"/>
  <c r="D19" i="1"/>
  <c r="I19" i="1"/>
  <c r="E18" i="1"/>
  <c r="D18" i="1"/>
  <c r="I18" i="1"/>
  <c r="E17" i="1"/>
  <c r="D17" i="1"/>
  <c r="I17" i="1"/>
  <c r="L16" i="1"/>
  <c r="J16" i="1"/>
  <c r="F16" i="1"/>
  <c r="G16" i="1"/>
  <c r="E16" i="1"/>
  <c r="D16" i="1"/>
  <c r="I16" i="1"/>
  <c r="L15" i="1"/>
  <c r="J15" i="1"/>
  <c r="F15" i="1"/>
  <c r="G15" i="1"/>
  <c r="E15" i="1"/>
  <c r="D15" i="1"/>
  <c r="I15" i="1"/>
  <c r="L14" i="1"/>
  <c r="J14" i="1"/>
  <c r="F14" i="1"/>
  <c r="G14" i="1"/>
  <c r="E14" i="1"/>
  <c r="D14" i="1"/>
  <c r="I14" i="1"/>
  <c r="J13" i="1"/>
  <c r="L13" i="1"/>
  <c r="F13" i="1"/>
  <c r="G13" i="1"/>
  <c r="E13" i="1"/>
  <c r="D13" i="1"/>
  <c r="I13" i="1"/>
  <c r="J12" i="1"/>
  <c r="L12" i="1"/>
  <c r="F12" i="1"/>
  <c r="G12" i="1"/>
  <c r="E12" i="1"/>
  <c r="D12" i="1"/>
  <c r="I12" i="1"/>
  <c r="L11" i="1"/>
  <c r="J11" i="1"/>
  <c r="F11" i="1"/>
  <c r="G11" i="1"/>
  <c r="E11" i="1"/>
  <c r="D11" i="1"/>
  <c r="L10" i="1"/>
  <c r="J10" i="1"/>
  <c r="F10" i="1"/>
  <c r="G10" i="1"/>
  <c r="E10" i="1"/>
  <c r="D10" i="1"/>
  <c r="I10" i="1"/>
  <c r="E9" i="1"/>
  <c r="D9" i="1"/>
  <c r="I9" i="1"/>
  <c r="G8" i="1"/>
  <c r="E8" i="1"/>
  <c r="D8" i="1"/>
  <c r="I8" i="1"/>
  <c r="E7" i="1"/>
  <c r="D7" i="1"/>
  <c r="I7" i="1"/>
</calcChain>
</file>

<file path=xl/sharedStrings.xml><?xml version="1.0" encoding="utf-8"?>
<sst xmlns="http://schemas.openxmlformats.org/spreadsheetml/2006/main" count="794" uniqueCount="475">
  <si>
    <t>ANALISIS DE COSTOS Y DETERMINACION DE PRECIOS DE VENTA (/i1,1/,84)</t>
  </si>
  <si>
    <t>CODIGO</t>
  </si>
  <si>
    <t>PRODUCTO</t>
  </si>
  <si>
    <t>Unidad</t>
  </si>
  <si>
    <t>Precio de</t>
  </si>
  <si>
    <t>Costo oper.</t>
  </si>
  <si>
    <t>Proveedor</t>
  </si>
  <si>
    <t>venta CF</t>
  </si>
  <si>
    <t>CF</t>
  </si>
  <si>
    <t>SF</t>
  </si>
  <si>
    <t>$us/unid.</t>
  </si>
  <si>
    <t>MATERIALES COMUNES PARA EL VIDRIO TEMPLADO Y LA CARPINTERIA DE ALUMINIO</t>
  </si>
  <si>
    <t>M1</t>
  </si>
  <si>
    <t>Silicona transparente, blanca o negra</t>
  </si>
  <si>
    <t>Tubo</t>
  </si>
  <si>
    <t>MAROL 20 Bs.</t>
  </si>
  <si>
    <t>M2</t>
  </si>
  <si>
    <t>Silicona estructural</t>
  </si>
  <si>
    <t>M3</t>
  </si>
  <si>
    <t>Cinta masking 1/2 " (rollo de 20)</t>
  </si>
  <si>
    <t>Rollo</t>
  </si>
  <si>
    <t xml:space="preserve">Ribepar </t>
  </si>
  <si>
    <t>M4</t>
  </si>
  <si>
    <t>"U" 15 x 15   ( 16x16 ) - 0,159 Kg/Mt.</t>
  </si>
  <si>
    <t>Mt lineal</t>
  </si>
  <si>
    <t>Alvicruz 4,1 + 15%</t>
  </si>
  <si>
    <t>Kgr./barra</t>
  </si>
  <si>
    <t>$us./barra</t>
  </si>
  <si>
    <t>4 puesto S.C.</t>
  </si>
  <si>
    <t>M5</t>
  </si>
  <si>
    <t>"U" 15 x 25 - 0,20 Kg/Mt.</t>
  </si>
  <si>
    <t>Alvicruz 5,9  + 15%</t>
  </si>
  <si>
    <t>5,8 puesto S.C.</t>
  </si>
  <si>
    <t>M6</t>
  </si>
  <si>
    <t>Tubo 50 x 50 - 1,037 Kg/Mt.</t>
  </si>
  <si>
    <t>Alcoa 6,73 + 15%</t>
  </si>
  <si>
    <t>M7</t>
  </si>
  <si>
    <t>Tubo 40 x 40 - 0,624 Kg/Mt.</t>
  </si>
  <si>
    <t>M8</t>
  </si>
  <si>
    <t>Tubo 80 x 40 - 0,948 Kg/Mt.</t>
  </si>
  <si>
    <t>Alvicruz 27,30  + 15%</t>
  </si>
  <si>
    <t>26,80 puesto S.C.</t>
  </si>
  <si>
    <t>M9</t>
  </si>
  <si>
    <t>Tubo 60 x 30 - 0,705 Kg/Mt.</t>
  </si>
  <si>
    <t>Alvicruz 18,4  + 15%</t>
  </si>
  <si>
    <t>18 puesto S.C.</t>
  </si>
  <si>
    <t>M10</t>
  </si>
  <si>
    <t>Tubo 100 x 50 - 1,560 Kg/Mt.</t>
  </si>
  <si>
    <t>Alvicruz 38  + 15%</t>
  </si>
  <si>
    <t>37,50 puesto S.C.</t>
  </si>
  <si>
    <t>M11</t>
  </si>
  <si>
    <t>Felpa</t>
  </si>
  <si>
    <t>Indalum</t>
  </si>
  <si>
    <t>M12</t>
  </si>
  <si>
    <t>Remache 4 x 10</t>
  </si>
  <si>
    <t>Pza.</t>
  </si>
  <si>
    <t>Perbol</t>
  </si>
  <si>
    <t>M13</t>
  </si>
  <si>
    <t>Tarugos No. 6</t>
  </si>
  <si>
    <t>M14</t>
  </si>
  <si>
    <t xml:space="preserve">Tornillos 8 x 1 1/2 </t>
  </si>
  <si>
    <t>M15</t>
  </si>
  <si>
    <t xml:space="preserve">Tornillos 8 x 1/2 </t>
  </si>
  <si>
    <t>M16</t>
  </si>
  <si>
    <t xml:space="preserve">Tubo Galvanizado de 4" </t>
  </si>
  <si>
    <t>Las Lomas ( 150+5%uniones)</t>
  </si>
  <si>
    <t>M17</t>
  </si>
  <si>
    <t>M18</t>
  </si>
  <si>
    <t>M19</t>
  </si>
  <si>
    <t>M20</t>
  </si>
  <si>
    <t>PARA EL VIDRIO TEMPLADO</t>
  </si>
  <si>
    <t>COCHABAMBA</t>
  </si>
  <si>
    <t>SANTA PUEJ</t>
  </si>
  <si>
    <t>V1</t>
  </si>
  <si>
    <t>Vidrio Templado 10mm Incoloro</t>
  </si>
  <si>
    <t>Mt²</t>
  </si>
  <si>
    <t>MURANO 26 + 5%desp.</t>
  </si>
  <si>
    <t>175+4caloi</t>
  </si>
  <si>
    <t>V2</t>
  </si>
  <si>
    <t>Vidrio Templado 8mm Incoloro</t>
  </si>
  <si>
    <t>MURANO 25 + 5% desp</t>
  </si>
  <si>
    <t>170+4caloi</t>
  </si>
  <si>
    <t>V3</t>
  </si>
  <si>
    <t>Vidrio Templado 6mm Incoloro</t>
  </si>
  <si>
    <t>Revibol</t>
  </si>
  <si>
    <t>V4</t>
  </si>
  <si>
    <t>Vidrio Templado 5mm Incoloro</t>
  </si>
  <si>
    <t>V5</t>
  </si>
  <si>
    <t>Vidrio Templado 4mm Incoloro</t>
  </si>
  <si>
    <t>V6</t>
  </si>
  <si>
    <t>Vidrio Templado 10mm Color</t>
  </si>
  <si>
    <t>MURANO 39 + 5% desp.</t>
  </si>
  <si>
    <t>V7</t>
  </si>
  <si>
    <t>Vidrio Templado 8mm Color</t>
  </si>
  <si>
    <t>MURANO 38 + 5% desp.</t>
  </si>
  <si>
    <t>V8</t>
  </si>
  <si>
    <t>Vidrio Templado 6mm Color</t>
  </si>
  <si>
    <t>V9</t>
  </si>
  <si>
    <t>Vidrio Templado 5mm Color</t>
  </si>
  <si>
    <t>V10</t>
  </si>
  <si>
    <t>Vidrio Templado 4mm Color</t>
  </si>
  <si>
    <t>V11</t>
  </si>
  <si>
    <t>Vidrio Templado Catedral 10mm Incoloro</t>
  </si>
  <si>
    <t>V12</t>
  </si>
  <si>
    <t>Vidrio Templado Catedral 10mm Color</t>
  </si>
  <si>
    <t>nuevos</t>
  </si>
  <si>
    <t>V13</t>
  </si>
  <si>
    <t>Cabezal, Tapa, Guia, Tapa-guia 1.998 Kg/Mt</t>
  </si>
  <si>
    <t>Juego</t>
  </si>
  <si>
    <t>Alvicruz 49,45+ 15%desp.</t>
  </si>
  <si>
    <t>Kgr./juego</t>
  </si>
  <si>
    <t>47,45 puesto S.C.</t>
  </si>
  <si>
    <t>V14</t>
  </si>
  <si>
    <t>Vedapres 001 - h de aluminio</t>
  </si>
  <si>
    <t>Barra</t>
  </si>
  <si>
    <t>Alvicruz 7,25+ 15%desp.</t>
  </si>
  <si>
    <t>7,15 puesto S.C.</t>
  </si>
  <si>
    <t>V15</t>
  </si>
  <si>
    <t>Vedapres 002 - u de aluminio</t>
  </si>
  <si>
    <t>Alvicruz 4,30+ 15%desp.</t>
  </si>
  <si>
    <t>4,20 puesto S.C.</t>
  </si>
  <si>
    <t>V16</t>
  </si>
  <si>
    <t>Vedapres 003 - H (2,10mt/barra) Inc.</t>
  </si>
  <si>
    <t>Florencio Rivero</t>
  </si>
  <si>
    <t>V17</t>
  </si>
  <si>
    <t>Vedapres 001 - h (2,10mt/barra) Bce.</t>
  </si>
  <si>
    <t>V18</t>
  </si>
  <si>
    <t>Vedapres 002 - Uc (2,10mt/barra) Bce.</t>
  </si>
  <si>
    <t>V19</t>
  </si>
  <si>
    <t>Vedapres 003 - H (2,10mt/barra) Bce.</t>
  </si>
  <si>
    <t>V20</t>
  </si>
  <si>
    <t>Freno Hidráulico DORMA</t>
  </si>
  <si>
    <t>V21</t>
  </si>
  <si>
    <t>Freno Hidráulico HyH</t>
  </si>
  <si>
    <t>Cristembo La Paz</t>
  </si>
  <si>
    <t>V22</t>
  </si>
  <si>
    <t>Manijones de vidrio</t>
  </si>
  <si>
    <t>V23</t>
  </si>
  <si>
    <t>1003 ( cromado ó bronce viejo )</t>
  </si>
  <si>
    <t>Alvicruz + 0,15 transp</t>
  </si>
  <si>
    <t>puestos S.C.</t>
  </si>
  <si>
    <t>V24</t>
  </si>
  <si>
    <t>1013 ( cromado ó bronce viejo )</t>
  </si>
  <si>
    <t>V25</t>
  </si>
  <si>
    <t>1038 ( cromado ó bronce viejo )</t>
  </si>
  <si>
    <t>V26</t>
  </si>
  <si>
    <t>1038-C ( cromado ó bronce viejo )</t>
  </si>
  <si>
    <t>V27</t>
  </si>
  <si>
    <t>1101 ( cromado ó bronce viejo )</t>
  </si>
  <si>
    <t>V28</t>
  </si>
  <si>
    <t>1103 ( cromado ó bronce viejo )</t>
  </si>
  <si>
    <t>V29</t>
  </si>
  <si>
    <t>1114 ( cromado ó bronce viejo )</t>
  </si>
  <si>
    <t>V30</t>
  </si>
  <si>
    <t>1115 ( cromado ó bronce viejo )</t>
  </si>
  <si>
    <t>V31</t>
  </si>
  <si>
    <t>1117 ( cromado ó bronce viejo )</t>
  </si>
  <si>
    <t>V32</t>
  </si>
  <si>
    <t>1123 ( cromado ó bronce viejo )</t>
  </si>
  <si>
    <t>V33</t>
  </si>
  <si>
    <t>1125 ( cromado ó bronce viejo )</t>
  </si>
  <si>
    <t>V34</t>
  </si>
  <si>
    <t>1125-A ( cromado ó bronce viejo )</t>
  </si>
  <si>
    <t>V35</t>
  </si>
  <si>
    <t>1201 ( cromado ó bronce viejo )</t>
  </si>
  <si>
    <t>V36</t>
  </si>
  <si>
    <t>1203 ( cromado ó bronce viejo )</t>
  </si>
  <si>
    <t>V37</t>
  </si>
  <si>
    <t>1209 ( cromado ó bronce viejo )</t>
  </si>
  <si>
    <t>V38</t>
  </si>
  <si>
    <t>1230 ( cromado ó bronce viejo )</t>
  </si>
  <si>
    <t>V39</t>
  </si>
  <si>
    <t>1302 ( cromado ó bronce viejo )</t>
  </si>
  <si>
    <t>V40</t>
  </si>
  <si>
    <t>1306 ( cromado ó bronce viejo )</t>
  </si>
  <si>
    <t>V41</t>
  </si>
  <si>
    <t>1310 ( cromado ó bronce viejo )</t>
  </si>
  <si>
    <t>V42</t>
  </si>
  <si>
    <t>1316 ( cromado ó bronce viejo )</t>
  </si>
  <si>
    <t>V43</t>
  </si>
  <si>
    <t>1319 ( cromado ó bronce viejo )</t>
  </si>
  <si>
    <t>V44</t>
  </si>
  <si>
    <t>1329 ( cromado ó bronce viejo )</t>
  </si>
  <si>
    <t>V45</t>
  </si>
  <si>
    <t>1335 ( cromado ó bronce viejo )</t>
  </si>
  <si>
    <t>V46</t>
  </si>
  <si>
    <t>1335-C ( cromado ó bronce viejo )</t>
  </si>
  <si>
    <t>V47</t>
  </si>
  <si>
    <t>1504 ( cromado ó bronce viejo )</t>
  </si>
  <si>
    <t>V48</t>
  </si>
  <si>
    <t>1510 ( cromado ó bronce viejo )</t>
  </si>
  <si>
    <t>V49</t>
  </si>
  <si>
    <t>1511 ( cromado ó bronce viejo )</t>
  </si>
  <si>
    <t>V50</t>
  </si>
  <si>
    <t>1511-A ( cromado ó bronce viejo )</t>
  </si>
  <si>
    <t>V51</t>
  </si>
  <si>
    <t>1520 ( cromado ó bronce viejo )</t>
  </si>
  <si>
    <t>V52</t>
  </si>
  <si>
    <t>1523 ( cromado ó bronce viejo )</t>
  </si>
  <si>
    <t>V53</t>
  </si>
  <si>
    <t>1531 ( cromado ó bronce viejo )</t>
  </si>
  <si>
    <t>V54</t>
  </si>
  <si>
    <t>1629-J ( cromado ó bronce viejo )</t>
  </si>
  <si>
    <t>V55</t>
  </si>
  <si>
    <t>1629-P ( cromado ó bronce viejo )</t>
  </si>
  <si>
    <t>V56</t>
  </si>
  <si>
    <t>1636-AL ( cromado ó bronce viejo )</t>
  </si>
  <si>
    <t>V57</t>
  </si>
  <si>
    <t>1800 ( cromado ó bronce viejo )</t>
  </si>
  <si>
    <t>V58</t>
  </si>
  <si>
    <t>1800-C ( cromado ó bronce viejo )</t>
  </si>
  <si>
    <t>V59</t>
  </si>
  <si>
    <t>Mano de obra instalaciòn templado</t>
  </si>
  <si>
    <t>Hilarion -  8 col.+dis. + 2 tec</t>
  </si>
  <si>
    <t>Sus/mt2</t>
  </si>
  <si>
    <t>V60</t>
  </si>
  <si>
    <t>Herraje Arana</t>
  </si>
  <si>
    <t>ALVICRUZ</t>
  </si>
  <si>
    <t>V61</t>
  </si>
  <si>
    <t>Soporte herraje - tubo</t>
  </si>
  <si>
    <t>8D La Paz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</si>
  <si>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</si>
  <si>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</si>
  <si>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</si>
  <si>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</si>
  <si>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</si>
  <si>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</si>
  <si>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</si>
  <si>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</si>
  <si>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</si>
  <si>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MATERIALES Y MATERIA PRIMA PARA LA CARPINTERIA DE ALUMINIO</t>
  </si>
  <si>
    <t>A1</t>
  </si>
  <si>
    <t>Aluminio Anodizado Bronce o Champagne</t>
  </si>
  <si>
    <t>Kgr.</t>
  </si>
  <si>
    <t>A2</t>
  </si>
  <si>
    <t>Aluminio Anodizado natural</t>
  </si>
  <si>
    <t>A3</t>
  </si>
  <si>
    <t>Vidrio Incolororo 3mm</t>
  </si>
  <si>
    <t>Oriental 7.68 + 15%</t>
  </si>
  <si>
    <t>A4</t>
  </si>
  <si>
    <t>Vidrio Incolororo 4mm</t>
  </si>
  <si>
    <t>Oriental 9.48 + 15%</t>
  </si>
  <si>
    <t>A5</t>
  </si>
  <si>
    <t>Vidrio Incolororo 5mm</t>
  </si>
  <si>
    <t>Oriental 10.76 + 15%</t>
  </si>
  <si>
    <t>A6</t>
  </si>
  <si>
    <t>Vidrio Incolororo 6mm</t>
  </si>
  <si>
    <t>Oriental 14.30 + 15%</t>
  </si>
  <si>
    <t>A7</t>
  </si>
  <si>
    <t>Vidrio Color 3mm</t>
  </si>
  <si>
    <t>Garcia 10.09 + 15%</t>
  </si>
  <si>
    <t>A8</t>
  </si>
  <si>
    <t>Vidrio Color 4mm</t>
  </si>
  <si>
    <t>Oriental 11.08 + 15%</t>
  </si>
  <si>
    <t>A9</t>
  </si>
  <si>
    <t>Vidrio Color 5mm</t>
  </si>
  <si>
    <t>Garcia 14.33 + 15%</t>
  </si>
  <si>
    <t>A10</t>
  </si>
  <si>
    <t>Vidrio Color 6mm</t>
  </si>
  <si>
    <t>Oriental 16.65 + 15%</t>
  </si>
  <si>
    <t>A11</t>
  </si>
  <si>
    <t>Vidrio catedral claro</t>
  </si>
  <si>
    <t>Revibol - 5,55  + 15%</t>
  </si>
  <si>
    <t>A12</t>
  </si>
  <si>
    <t>Vidrio catedral color</t>
  </si>
  <si>
    <t>Revibol - 7,16 + 15%</t>
  </si>
  <si>
    <t>A13</t>
  </si>
  <si>
    <t>Vidrio Reflectivo Bronce o Gris 4mm</t>
  </si>
  <si>
    <t>Garcia 24 + 15%</t>
  </si>
  <si>
    <t>A14</t>
  </si>
  <si>
    <t>Vidrio Reflectivo Bronce o Gris 5mm</t>
  </si>
  <si>
    <t>A15</t>
  </si>
  <si>
    <t>Vidrio Reflectivo Bronce o Gris 6mm</t>
  </si>
  <si>
    <t>A16</t>
  </si>
  <si>
    <t>Vidrio Reflectivo Azurlite 4mm</t>
  </si>
  <si>
    <t>A17</t>
  </si>
  <si>
    <t>Vidrio Reflectivo Azurlite 5mm</t>
  </si>
  <si>
    <t>A18</t>
  </si>
  <si>
    <t>Vidrio Reflectivo Azurlite 6mm</t>
  </si>
  <si>
    <t>Garcia 37 + 15%</t>
  </si>
  <si>
    <t>A19</t>
  </si>
  <si>
    <t>Cinta dob.cont. 4972 - 3M 1/2"=12mm (rollo de 20)</t>
  </si>
  <si>
    <t>America home center</t>
  </si>
  <si>
    <t>A20</t>
  </si>
  <si>
    <t>Cinta dob.cont. 4972 - 3M 3/4"=19mm (rollo de 20)</t>
  </si>
  <si>
    <t>A21</t>
  </si>
  <si>
    <t>Cinta dob.cont. 4972 - 3M 1"=25mm (rollo de 20)</t>
  </si>
  <si>
    <t>A22</t>
  </si>
  <si>
    <t>A23</t>
  </si>
  <si>
    <t>Burlete</t>
  </si>
  <si>
    <t>A24</t>
  </si>
  <si>
    <t>Patin serie 25</t>
  </si>
  <si>
    <t>A25</t>
  </si>
  <si>
    <t>Patin serie 20</t>
  </si>
  <si>
    <t>A26</t>
  </si>
  <si>
    <t>Patin serie 50</t>
  </si>
  <si>
    <t>A27</t>
  </si>
  <si>
    <t>Patin serie 4000</t>
  </si>
  <si>
    <t>A28</t>
  </si>
  <si>
    <t>Patin shower door</t>
  </si>
  <si>
    <t>A29</t>
  </si>
  <si>
    <t>Cierre serie 20</t>
  </si>
  <si>
    <t>A30</t>
  </si>
  <si>
    <t>Cierre serie 25</t>
  </si>
  <si>
    <t>A31</t>
  </si>
  <si>
    <t>Guia exterior Shower door</t>
  </si>
  <si>
    <t>A32</t>
  </si>
  <si>
    <t>Guia serie 50</t>
  </si>
  <si>
    <t>A33</t>
  </si>
  <si>
    <t>Guia serie 20</t>
  </si>
  <si>
    <t>A34</t>
  </si>
  <si>
    <t>Guia serie 25</t>
  </si>
  <si>
    <t>A35</t>
  </si>
  <si>
    <t>Celosias 2 aletas - 320 mm.</t>
  </si>
  <si>
    <t>Par</t>
  </si>
  <si>
    <t>A36</t>
  </si>
  <si>
    <t>Celosias 3 aletas - 460 mm.</t>
  </si>
  <si>
    <t>A37</t>
  </si>
  <si>
    <t>Celosias 4 aletas - 600 mm.</t>
  </si>
  <si>
    <t>A38</t>
  </si>
  <si>
    <t>Celosias 5 aletas - 740mm.</t>
  </si>
  <si>
    <t>A39</t>
  </si>
  <si>
    <t>Celosias 6 aletas - 880 mm.</t>
  </si>
  <si>
    <t>A40</t>
  </si>
  <si>
    <t>Celosias 7 aletas - 1000 mm.</t>
  </si>
  <si>
    <t>A41</t>
  </si>
  <si>
    <t>Celosias 8 aletas - 1160 mm.</t>
  </si>
  <si>
    <t>A42</t>
  </si>
  <si>
    <t>Celosias 9 aletas - 1300 mm.</t>
  </si>
  <si>
    <t>A43</t>
  </si>
  <si>
    <t>Bisagra serie 32 y 42</t>
  </si>
  <si>
    <t>A44</t>
  </si>
  <si>
    <t>Bisagra serie 35</t>
  </si>
  <si>
    <t>A45</t>
  </si>
  <si>
    <t>Bisagra serie 45</t>
  </si>
  <si>
    <t>A46</t>
  </si>
  <si>
    <t>Brazo de apertura p/proyectante 300</t>
  </si>
  <si>
    <t>A47</t>
  </si>
  <si>
    <t>Brazo de apertura p/proyectante 400</t>
  </si>
  <si>
    <t>A48</t>
  </si>
  <si>
    <t>Brazo de apertura p/proyectante 500</t>
  </si>
  <si>
    <t>A49</t>
  </si>
  <si>
    <t>Brazo de apertura p/proyectante 650</t>
  </si>
  <si>
    <t>A50</t>
  </si>
  <si>
    <t>Brazo de apertura p/proyectante 900</t>
  </si>
  <si>
    <t>A51</t>
  </si>
  <si>
    <t>Brazo de apertura p/proyectante 1200</t>
  </si>
  <si>
    <t>A52</t>
  </si>
  <si>
    <t>Manija para proyectante</t>
  </si>
  <si>
    <t>A53</t>
  </si>
  <si>
    <t>Chapa p/puerta de aluminio</t>
  </si>
  <si>
    <t>A54</t>
  </si>
  <si>
    <t>Mano de obra carpinterìa de aluminio.</t>
  </si>
  <si>
    <t>Hilarion ; 7 maestro + 3diseno</t>
  </si>
  <si>
    <t>A55</t>
  </si>
  <si>
    <t>Mano de obra fachadas, techos y especiales</t>
  </si>
  <si>
    <t>Hilarion ; 7 maestro + 5diseno</t>
  </si>
  <si>
    <t>A56</t>
  </si>
  <si>
    <t>Mano de obra colocación espejos</t>
  </si>
  <si>
    <t xml:space="preserve">Hilarion </t>
  </si>
  <si>
    <t>A57</t>
  </si>
  <si>
    <t>Mano de obra fabricación malleras</t>
  </si>
  <si>
    <t>A58</t>
  </si>
  <si>
    <t>Mano de obra colocación crudo</t>
  </si>
  <si>
    <t>Hilarion 4</t>
  </si>
  <si>
    <t>A59</t>
  </si>
  <si>
    <t>Mano de obra Divisores de ambiente y cielos</t>
  </si>
  <si>
    <t>A60</t>
  </si>
  <si>
    <t>Tesador para puertas 5/16</t>
  </si>
  <si>
    <t>A61</t>
  </si>
  <si>
    <t>Malla milimétrica plástica</t>
  </si>
  <si>
    <t>Ferretería - 20%</t>
  </si>
  <si>
    <t>A62</t>
  </si>
  <si>
    <t>Biselado hasta 2,7 cm</t>
  </si>
  <si>
    <t>VICOR</t>
  </si>
  <si>
    <t>A63</t>
  </si>
  <si>
    <t>Escuadra de armado</t>
  </si>
  <si>
    <t>A64</t>
  </si>
  <si>
    <t>Vidrio espejo incoloro 3mm</t>
  </si>
  <si>
    <t>Revibol - 9,15 - 8,38 - 18%</t>
  </si>
  <si>
    <t>A65</t>
  </si>
  <si>
    <t>Vidrio espejo incoloro 4mm</t>
  </si>
  <si>
    <t>Revibol - 10,98 - 9,89 - 18%</t>
  </si>
  <si>
    <t>A66</t>
  </si>
  <si>
    <t>Pulido de vidrio a máquina</t>
  </si>
  <si>
    <t>A67</t>
  </si>
  <si>
    <t>Perforación de vidrio</t>
  </si>
  <si>
    <t>Hoyo</t>
  </si>
  <si>
    <t>A68</t>
  </si>
  <si>
    <t>Mano de obra celosías</t>
  </si>
  <si>
    <t>Hilarion o Silverio o Octavio 7</t>
  </si>
  <si>
    <t>A69</t>
  </si>
  <si>
    <t>jalador para mallera</t>
  </si>
  <si>
    <t>A70</t>
  </si>
  <si>
    <t>Anclajes de hierro (pzas.)</t>
  </si>
  <si>
    <t>A71</t>
  </si>
  <si>
    <t>Pernos de expansión (pzas.)</t>
  </si>
  <si>
    <t>A72</t>
  </si>
  <si>
    <t>Tornillo y tuerca de 2" (pzas.)</t>
  </si>
  <si>
    <t>A73</t>
  </si>
  <si>
    <t>Mano de obra Box de bano recto</t>
  </si>
  <si>
    <t>Box de  bano recto</t>
  </si>
  <si>
    <t>A74</t>
  </si>
  <si>
    <t>Mano de obra Box de bano curvo</t>
  </si>
  <si>
    <t>Box de  bano curvo</t>
  </si>
  <si>
    <t>A75</t>
  </si>
  <si>
    <t>Mano de obra Fachada estructural peque</t>
  </si>
  <si>
    <t>Fachada estructural pequena</t>
  </si>
  <si>
    <t>A76</t>
  </si>
  <si>
    <t>Mano de obra Fachada estructural grande</t>
  </si>
  <si>
    <t>Fachada estructural alta</t>
  </si>
  <si>
    <t>A77</t>
  </si>
  <si>
    <t>Mano de obra Carpinteria de aluminio con termopanel</t>
  </si>
  <si>
    <t>Termopanel</t>
  </si>
  <si>
    <t>A78</t>
  </si>
  <si>
    <t>Jaladores PAR serie 25</t>
  </si>
  <si>
    <t>A79</t>
  </si>
  <si>
    <t xml:space="preserve">ALUCOBOND - WILSTRONG </t>
  </si>
  <si>
    <t>Tecnopor 35.50 + 20%</t>
  </si>
  <si>
    <t>A80</t>
  </si>
  <si>
    <t>Vidrio Laminado Reflectivo Gris 4+4mm</t>
  </si>
  <si>
    <t>CRIS LP 43 + 30%</t>
  </si>
  <si>
    <t>A81</t>
  </si>
  <si>
    <t>Vidrio Laminado Reflectivo Azul 4+4mm</t>
  </si>
  <si>
    <t>CRIS LP 46 + 30%</t>
  </si>
  <si>
    <t>A82</t>
  </si>
  <si>
    <t>Vidrio Laminado Incoloro 4+4mm</t>
  </si>
  <si>
    <t>CRIS LP 24 + 30%</t>
  </si>
  <si>
    <t>A83</t>
  </si>
  <si>
    <t>Patin serie 30 + riel sup</t>
  </si>
  <si>
    <t>A84</t>
  </si>
  <si>
    <t>Panel Cielo falso 122x61</t>
  </si>
  <si>
    <t>tecnopor  10 + 20%</t>
  </si>
  <si>
    <t>A85</t>
  </si>
  <si>
    <t>Panel Cielo falso 61x61</t>
  </si>
  <si>
    <t>tecnopor  12 + 20%</t>
  </si>
  <si>
    <t>A86</t>
  </si>
  <si>
    <t>Alambre galvanizado</t>
  </si>
  <si>
    <t>Las Lomas ( 3+25% )</t>
  </si>
  <si>
    <t>A87</t>
  </si>
  <si>
    <t>Acrilico</t>
  </si>
  <si>
    <t>CRIS LP 15 + 30%</t>
  </si>
  <si>
    <t>A88</t>
  </si>
  <si>
    <t>Vidrio Laminado Reflectivo Bronce o Gris 5+5 mm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</si>
  <si>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</si>
  <si>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</si>
  <si>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</si>
  <si>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</si>
  <si>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</si>
  <si>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</si>
  <si>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</si>
  <si>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</si>
  <si>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</si>
  <si>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</si>
  <si>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</si>
  <si>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</si>
  <si>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</si>
  <si>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</si>
  <si>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</si>
  <si>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</si>
  <si>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</si>
  <si>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</si>
  <si>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</si>
  <si>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</si>
  <si>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</si>
  <si>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</si>
  <si>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</si>
  <si>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</si>
  <si>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</si>
  <si>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</si>
  <si>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</si>
  <si>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</si>
  <si>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</si>
  <si>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</si>
  <si>
    <t>venta 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</si>
</sst>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Rockwell"/>
      <family val="1"/>
    </font>
    <font>
      <b/>
      <sz val="14"/>
      <name val="Rockwell"/>
      <family val="1"/>
    </font>
    <font>
      <b/>
      <sz val="10"/>
      <name val="Rockwell"/>
      <family val="1"/>
    </font>
    <font>
      <sz val="10"/>
      <name val="Arial"/>
    </font>
    <font>
      <b/>
      <sz val="12"/>
      <name val="Rockwell"/>
      <family val="1"/>
    </font>
    <font>
      <b/>
      <sz val="10"/>
      <color rgb="FFFF0000"/>
      <name val="Rockwell"/>
      <family val="1"/>
    </font>
    <font>
      <b/>
      <sz val="16"/>
      <name val="Rockwell"/>
      <family val="1"/>
    </font>
    <font>
      <b/>
      <sz val="10"/>
      <color indexed="10"/>
      <name val="Rockwell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</cellStyleXfs>
  <cellXfs count="74">
    <xf numFmtId="0" fontId="0" fillId="0" borderId="0" xfId="0"/>
    <xf numFmtId="0" fontId="3" fillId="0" borderId="0" xfId="3" applyFont="1"/>
    <xf numFmtId="0" fontId="4" fillId="0" borderId="0" xfId="3" applyFont="1"/>
    <xf numFmtId="0" fontId="3" fillId="0" borderId="0" xfId="3" applyFont="1" applyAlignment="1">
      <alignment horizontal="center"/>
    </xf>
    <xf numFmtId="0" fontId="5" fillId="0" borderId="0" xfId="3" applyFont="1"/>
    <xf numFmtId="0" fontId="3" fillId="0" borderId="0" xfId="3" applyFont="1" applyAlignment="1">
      <alignment horizontal="justify"/>
    </xf>
    <xf numFmtId="10" fontId="7" fillId="0" borderId="0" xfId="2" applyNumberFormat="1" applyFont="1"/>
    <xf numFmtId="0" fontId="8" fillId="2" borderId="1" xfId="3" applyFont="1" applyFill="1" applyBorder="1" applyAlignment="1">
      <alignment horizontal="center"/>
    </xf>
    <xf numFmtId="0" fontId="5" fillId="0" borderId="2" xfId="3" applyFont="1" applyBorder="1" applyAlignment="1">
      <alignment horizontal="center"/>
    </xf>
    <xf numFmtId="0" fontId="5" fillId="0" borderId="3" xfId="3" applyFont="1" applyBorder="1" applyAlignment="1">
      <alignment horizontal="center"/>
    </xf>
    <xf numFmtId="0" fontId="5" fillId="0" borderId="4" xfId="3" applyFont="1" applyBorder="1" applyAlignment="1">
      <alignment horizontal="center"/>
    </xf>
    <xf numFmtId="0" fontId="5" fillId="0" borderId="5" xfId="3" applyFont="1" applyBorder="1" applyAlignment="1">
      <alignment horizontal="center"/>
    </xf>
    <xf numFmtId="0" fontId="5" fillId="0" borderId="1" xfId="3" applyFont="1" applyBorder="1" applyAlignment="1">
      <alignment horizontal="justify"/>
    </xf>
    <xf numFmtId="0" fontId="8" fillId="2" borderId="6" xfId="3" applyFont="1" applyFill="1" applyBorder="1" applyAlignment="1">
      <alignment horizontal="center"/>
    </xf>
    <xf numFmtId="0" fontId="5" fillId="0" borderId="7" xfId="3" applyFont="1" applyBorder="1" applyAlignment="1">
      <alignment horizontal="center"/>
    </xf>
    <xf numFmtId="0" fontId="5" fillId="0" borderId="8" xfId="3" applyFont="1" applyBorder="1" applyAlignment="1">
      <alignment horizontal="center"/>
    </xf>
    <xf numFmtId="0" fontId="5" fillId="0" borderId="9" xfId="3" applyFont="1" applyBorder="1" applyAlignment="1">
      <alignment horizontal="center"/>
    </xf>
    <xf numFmtId="0" fontId="5" fillId="0" borderId="6" xfId="3" applyFont="1" applyBorder="1" applyAlignment="1">
      <alignment horizontal="center"/>
    </xf>
    <xf numFmtId="0" fontId="5" fillId="0" borderId="6" xfId="3" applyFont="1" applyBorder="1" applyAlignment="1">
      <alignment horizontal="justify"/>
    </xf>
    <xf numFmtId="0" fontId="8" fillId="2" borderId="10" xfId="3" applyFont="1" applyFill="1" applyBorder="1" applyAlignment="1">
      <alignment horizontal="center"/>
    </xf>
    <xf numFmtId="0" fontId="5" fillId="0" borderId="11" xfId="3" applyFont="1" applyBorder="1" applyAlignment="1">
      <alignment horizontal="center"/>
    </xf>
    <xf numFmtId="0" fontId="5" fillId="0" borderId="12" xfId="3" applyFont="1" applyBorder="1" applyAlignment="1">
      <alignment horizontal="center"/>
    </xf>
    <xf numFmtId="0" fontId="5" fillId="0" borderId="13" xfId="3" applyFont="1" applyBorder="1" applyAlignment="1">
      <alignment horizontal="center"/>
    </xf>
    <xf numFmtId="0" fontId="5" fillId="0" borderId="10" xfId="3" applyFont="1" applyBorder="1" applyAlignment="1">
      <alignment horizontal="center"/>
    </xf>
    <xf numFmtId="0" fontId="5" fillId="0" borderId="10" xfId="3" applyFont="1" applyBorder="1" applyAlignment="1">
      <alignment horizontal="justify"/>
    </xf>
    <xf numFmtId="0" fontId="3" fillId="0" borderId="5" xfId="3" applyFont="1" applyBorder="1"/>
    <xf numFmtId="0" fontId="5" fillId="0" borderId="10" xfId="3" applyFont="1" applyBorder="1" applyAlignment="1">
      <alignment horizontal="left"/>
    </xf>
    <xf numFmtId="0" fontId="5" fillId="0" borderId="5" xfId="3" applyFont="1" applyBorder="1" applyAlignment="1">
      <alignment horizontal="center" vertical="center"/>
    </xf>
    <xf numFmtId="0" fontId="5" fillId="3" borderId="5" xfId="3" applyFont="1" applyFill="1" applyBorder="1" applyAlignment="1">
      <alignment horizontal="left"/>
    </xf>
    <xf numFmtId="0" fontId="3" fillId="3" borderId="14" xfId="3" applyFont="1" applyFill="1" applyBorder="1" applyAlignment="1">
      <alignment horizontal="center"/>
    </xf>
    <xf numFmtId="2" fontId="7" fillId="3" borderId="15" xfId="3" applyNumberFormat="1" applyFont="1" applyFill="1" applyBorder="1"/>
    <xf numFmtId="2" fontId="3" fillId="3" borderId="4" xfId="3" applyNumberFormat="1" applyFont="1" applyFill="1" applyBorder="1"/>
    <xf numFmtId="2" fontId="3" fillId="3" borderId="5" xfId="3" applyNumberFormat="1" applyFont="1" applyFill="1" applyBorder="1"/>
    <xf numFmtId="0" fontId="3" fillId="3" borderId="5" xfId="3" applyFont="1" applyFill="1" applyBorder="1" applyAlignment="1">
      <alignment horizontal="justify"/>
    </xf>
    <xf numFmtId="10" fontId="7" fillId="3" borderId="0" xfId="2" applyNumberFormat="1" applyFont="1" applyFill="1"/>
    <xf numFmtId="0" fontId="3" fillId="3" borderId="0" xfId="3" applyFont="1" applyFill="1"/>
    <xf numFmtId="0" fontId="5" fillId="0" borderId="5" xfId="3" applyFont="1" applyBorder="1" applyAlignment="1">
      <alignment horizontal="left"/>
    </xf>
    <xf numFmtId="0" fontId="3" fillId="0" borderId="14" xfId="3" applyFont="1" applyBorder="1" applyAlignment="1">
      <alignment horizontal="center"/>
    </xf>
    <xf numFmtId="2" fontId="7" fillId="0" borderId="15" xfId="3" applyNumberFormat="1" applyFont="1" applyBorder="1"/>
    <xf numFmtId="2" fontId="3" fillId="0" borderId="4" xfId="3" applyNumberFormat="1" applyFont="1" applyBorder="1"/>
    <xf numFmtId="0" fontId="3" fillId="0" borderId="5" xfId="3" applyFont="1" applyBorder="1" applyAlignment="1">
      <alignment horizontal="justify"/>
    </xf>
    <xf numFmtId="164" fontId="3" fillId="3" borderId="0" xfId="0" applyNumberFormat="1" applyFont="1" applyFill="1"/>
    <xf numFmtId="0" fontId="0" fillId="3" borderId="0" xfId="0" applyFill="1"/>
    <xf numFmtId="2" fontId="3" fillId="3" borderId="0" xfId="3" applyNumberFormat="1" applyFont="1" applyFill="1"/>
    <xf numFmtId="164" fontId="3" fillId="0" borderId="0" xfId="0" applyNumberFormat="1" applyFont="1"/>
    <xf numFmtId="2" fontId="3" fillId="0" borderId="0" xfId="3" applyNumberFormat="1" applyFont="1"/>
    <xf numFmtId="2" fontId="3" fillId="0" borderId="5" xfId="3" applyNumberFormat="1" applyFont="1" applyBorder="1"/>
    <xf numFmtId="0" fontId="3" fillId="0" borderId="0" xfId="0" applyFont="1"/>
    <xf numFmtId="2" fontId="3" fillId="0" borderId="13" xfId="3" applyNumberFormat="1" applyFont="1" applyBorder="1"/>
    <xf numFmtId="0" fontId="3" fillId="0" borderId="11" xfId="3" applyFont="1" applyBorder="1" applyAlignment="1">
      <alignment horizontal="center"/>
    </xf>
    <xf numFmtId="2" fontId="3" fillId="0" borderId="10" xfId="3" applyNumberFormat="1" applyFont="1" applyBorder="1"/>
    <xf numFmtId="0" fontId="3" fillId="3" borderId="10" xfId="3" applyFont="1" applyFill="1" applyBorder="1" applyAlignment="1">
      <alignment horizontal="justify"/>
    </xf>
    <xf numFmtId="0" fontId="3" fillId="0" borderId="10" xfId="3" applyFont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5" fillId="0" borderId="13" xfId="3" applyNumberFormat="1" applyFont="1" applyBorder="1" applyAlignment="1">
      <alignment horizontal="center"/>
    </xf>
    <xf numFmtId="2" fontId="5" fillId="0" borderId="10" xfId="3" applyNumberFormat="1" applyFont="1" applyBorder="1" applyAlignment="1">
      <alignment horizontal="center"/>
    </xf>
    <xf numFmtId="2" fontId="3" fillId="3" borderId="4" xfId="0" applyNumberFormat="1" applyFont="1" applyFill="1" applyBorder="1"/>
    <xf numFmtId="1" fontId="3" fillId="3" borderId="0" xfId="3" applyNumberFormat="1" applyFont="1" applyFill="1"/>
    <xf numFmtId="2" fontId="3" fillId="0" borderId="4" xfId="0" applyNumberFormat="1" applyFont="1" applyBorder="1"/>
    <xf numFmtId="2" fontId="3" fillId="0" borderId="5" xfId="0" applyNumberFormat="1" applyFont="1" applyBorder="1"/>
    <xf numFmtId="0" fontId="8" fillId="3" borderId="5" xfId="3" applyFont="1" applyFill="1" applyBorder="1" applyAlignment="1">
      <alignment horizontal="left" vertical="center"/>
    </xf>
    <xf numFmtId="0" fontId="3" fillId="4" borderId="5" xfId="3" applyFont="1" applyFill="1" applyBorder="1" applyAlignment="1">
      <alignment horizontal="justify"/>
    </xf>
    <xf numFmtId="0" fontId="3" fillId="5" borderId="5" xfId="3" applyFont="1" applyFill="1" applyBorder="1" applyAlignment="1">
      <alignment horizontal="justify"/>
    </xf>
    <xf numFmtId="0" fontId="5" fillId="0" borderId="5" xfId="3" applyFont="1" applyBorder="1"/>
    <xf numFmtId="0" fontId="5" fillId="0" borderId="14" xfId="0" applyFont="1" applyBorder="1" applyAlignment="1">
      <alignment horizontal="left"/>
    </xf>
    <xf numFmtId="0" fontId="2" fillId="0" borderId="0" xfId="3"/>
    <xf numFmtId="0" fontId="7" fillId="0" borderId="14" xfId="0" applyFont="1" applyBorder="1" applyAlignment="1">
      <alignment horizontal="left"/>
    </xf>
    <xf numFmtId="0" fontId="5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justify"/>
    </xf>
    <xf numFmtId="43" fontId="7" fillId="0" borderId="0" xfId="1" applyFont="1"/>
    <xf numFmtId="0" fontId="5" fillId="6" borderId="14" xfId="0" applyFont="1" applyFill="1" applyBorder="1" applyAlignment="1">
      <alignment horizontal="left"/>
    </xf>
    <xf numFmtId="0" fontId="5" fillId="7" borderId="11" xfId="0" applyFont="1" applyFill="1" applyBorder="1" applyAlignment="1">
      <alignment horizontal="left"/>
    </xf>
    <xf numFmtId="0" fontId="5" fillId="0" borderId="11" xfId="0" applyFont="1" applyBorder="1" applyAlignment="1">
      <alignment horizontal="left"/>
    </xf>
  </cellXfs>
  <cellStyles count="4">
    <cellStyle name="Millares" xfId="1" builtinId="3"/>
    <cellStyle name="Normal" xfId="0" builtinId="0"/>
    <cellStyle name="Normal 2" xfId="3" xr:uid="{40589876-2E44-4EF8-8287-3CC8585D9B30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500743</xdr:colOff>
      <xdr:row>0</xdr:row>
      <xdr:rowOff>54429</xdr:rowOff>
    </xdr:from>
    <xdr:to>
      <xdr:col>19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D70E483-CD68-4FC6-A3E7-730E56BA2DDF}"/>
            </a:ext>
          </a:extLst>
        </xdr:cNvPr>
        <xdr:cNvSpPr txBox="1"/>
      </xdr:nvSpPr>
      <xdr:spPr>
        <a:xfrm>
          <a:off x="10924903" y="54429"/>
          <a:ext cx="8600802" cy="8033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3356-79CE-4C8B-B9F6-F910C3837076}">
  <dimension ref="A1:O200"/>
  <sheetViews>
    <sheetView tabSelected="1" zoomScale="70" zoomScaleNormal="70" workbookViewId="0">
      <selection activeCell="P7" sqref="P7"/>
    </sheetView>
  </sheetViews>
  <sheetFormatPr baseColWidth="10" defaultRowHeight="15.6" x14ac:dyDescent="0.3"/>
  <cols>
    <col min="1" max="1" width="8.6640625" bestFit="1" customWidth="1"/>
    <col min="2" max="2" width="57.6640625" style="67" customWidth="1"/>
    <col min="3" max="3" width="8.44140625" style="68" customWidth="1"/>
    <col min="4" max="5" width="11.6640625" style="67" bestFit="1" customWidth="1"/>
    <col min="6" max="7" width="11.44140625" style="47" bestFit="1" customWidth="1"/>
    <col min="8" max="8" width="31" style="69" customWidth="1"/>
    <col min="9" max="9" width="9.33203125" style="6" bestFit="1" customWidth="1"/>
    <col min="10" max="10" width="11.44140625" style="47" customWidth="1"/>
    <col min="14" max="14" width="16.88671875" bestFit="1" customWidth="1"/>
  </cols>
  <sheetData>
    <row r="1" spans="1:14" s="1" customFormat="1" ht="18" x14ac:dyDescent="0.35">
      <c r="B1" s="2" t="s">
        <v>0</v>
      </c>
      <c r="C1" s="3"/>
      <c r="D1" s="4"/>
      <c r="E1" s="4"/>
      <c r="H1" s="5"/>
      <c r="I1" s="6"/>
    </row>
    <row r="2" spans="1:14" s="1" customFormat="1" ht="7.5" customHeight="1" thickBot="1" x14ac:dyDescent="0.4">
      <c r="B2" s="2"/>
      <c r="C2" s="3"/>
      <c r="D2" s="4"/>
      <c r="E2" s="4"/>
      <c r="H2" s="5"/>
      <c r="I2" s="6"/>
    </row>
    <row r="3" spans="1:14" s="1" customFormat="1" x14ac:dyDescent="0.3">
      <c r="A3" s="7" t="s">
        <v>1</v>
      </c>
      <c r="B3" s="7" t="s">
        <v>2</v>
      </c>
      <c r="C3" s="8" t="s">
        <v>3</v>
      </c>
      <c r="D3" s="9" t="s">
        <v>4</v>
      </c>
      <c r="E3" s="9" t="s">
        <v>4</v>
      </c>
      <c r="F3" s="10" t="s">
        <v>5</v>
      </c>
      <c r="G3" s="11"/>
      <c r="H3" s="12" t="s">
        <v>6</v>
      </c>
      <c r="I3" s="6"/>
    </row>
    <row r="4" spans="1:14" s="1" customFormat="1" x14ac:dyDescent="0.3">
      <c r="A4" s="13"/>
      <c r="B4" s="13"/>
      <c r="C4" s="14"/>
      <c r="D4" s="15" t="s">
        <v>7</v>
      </c>
      <c r="E4" s="15" t="s">
        <v>474</v>
      </c>
      <c r="F4" s="16" t="s">
        <v>8</v>
      </c>
      <c r="G4" s="17" t="s">
        <v>9</v>
      </c>
      <c r="H4" s="18"/>
      <c r="I4" s="6"/>
    </row>
    <row r="5" spans="1:14" s="1" customFormat="1" ht="16.2" thickBot="1" x14ac:dyDescent="0.35">
      <c r="A5" s="19"/>
      <c r="B5" s="19"/>
      <c r="C5" s="20"/>
      <c r="D5" s="21" t="s">
        <v>10</v>
      </c>
      <c r="E5" s="21" t="s">
        <v>10</v>
      </c>
      <c r="F5" s="22" t="s">
        <v>10</v>
      </c>
      <c r="G5" s="23" t="s">
        <v>10</v>
      </c>
      <c r="H5" s="24"/>
      <c r="I5" s="6"/>
    </row>
    <row r="6" spans="1:14" s="1" customFormat="1" ht="16.2" thickBot="1" x14ac:dyDescent="0.35">
      <c r="A6" s="25"/>
      <c r="B6" s="26" t="s">
        <v>11</v>
      </c>
      <c r="C6" s="20"/>
      <c r="D6" s="21"/>
      <c r="E6" s="21"/>
      <c r="F6" s="22"/>
      <c r="G6" s="23"/>
      <c r="H6" s="24"/>
      <c r="I6" s="6"/>
    </row>
    <row r="7" spans="1:14" s="1" customFormat="1" ht="16.2" thickBot="1" x14ac:dyDescent="0.35">
      <c r="A7" s="27" t="s">
        <v>12</v>
      </c>
      <c r="B7" s="28" t="s">
        <v>13</v>
      </c>
      <c r="C7" s="29" t="s">
        <v>14</v>
      </c>
      <c r="D7" s="30">
        <f>ROUNDUP(F7*0.87*1.1/0.84,2)</f>
        <v>3.3099999999999996</v>
      </c>
      <c r="E7" s="30">
        <f>ROUNDUP(G7*1.1,2)</f>
        <v>3.19</v>
      </c>
      <c r="F7" s="31">
        <v>2.9</v>
      </c>
      <c r="G7" s="32">
        <v>2.9</v>
      </c>
      <c r="H7" s="33" t="s">
        <v>15</v>
      </c>
      <c r="I7" s="34">
        <f>(-E7+D7)/D7</f>
        <v>3.6253776435045217E-2</v>
      </c>
      <c r="J7" s="35"/>
      <c r="K7" s="35"/>
      <c r="L7" s="35"/>
      <c r="M7" s="35"/>
      <c r="N7" s="35"/>
    </row>
    <row r="8" spans="1:14" s="1" customFormat="1" ht="16.2" thickBot="1" x14ac:dyDescent="0.35">
      <c r="A8" s="27" t="s">
        <v>16</v>
      </c>
      <c r="B8" s="28" t="s">
        <v>17</v>
      </c>
      <c r="C8" s="29" t="s">
        <v>14</v>
      </c>
      <c r="D8" s="30">
        <f t="shared" ref="D8:D22" si="0">ROUNDUP(F8*0.87*1.1/0.84,2)</f>
        <v>7.1099999999999994</v>
      </c>
      <c r="E8" s="30">
        <f t="shared" ref="E8:E22" si="1">ROUNDUP(G8*1.1,2)</f>
        <v>6.59</v>
      </c>
      <c r="F8" s="31">
        <v>6.24</v>
      </c>
      <c r="G8" s="32">
        <f>+F8*0.96</f>
        <v>5.9904000000000002</v>
      </c>
      <c r="H8" s="33" t="s">
        <v>15</v>
      </c>
      <c r="I8" s="34">
        <f t="shared" ref="I8:I22" si="2">(-E8+D8)/D8</f>
        <v>7.3136427566807258E-2</v>
      </c>
      <c r="J8" s="35"/>
      <c r="K8" s="35"/>
      <c r="L8" s="35"/>
      <c r="M8" s="35"/>
      <c r="N8" s="35"/>
    </row>
    <row r="9" spans="1:14" s="1" customFormat="1" ht="16.2" thickBot="1" x14ac:dyDescent="0.35">
      <c r="A9" s="27" t="s">
        <v>18</v>
      </c>
      <c r="B9" s="36" t="s">
        <v>19</v>
      </c>
      <c r="C9" s="37" t="s">
        <v>20</v>
      </c>
      <c r="D9" s="38">
        <f t="shared" si="0"/>
        <v>0.75</v>
      </c>
      <c r="E9" s="38">
        <f t="shared" si="1"/>
        <v>0.72</v>
      </c>
      <c r="F9" s="39">
        <v>0.65</v>
      </c>
      <c r="G9" s="39">
        <v>0.65</v>
      </c>
      <c r="H9" s="40" t="s">
        <v>21</v>
      </c>
      <c r="I9" s="6">
        <f t="shared" si="2"/>
        <v>4.0000000000000036E-2</v>
      </c>
    </row>
    <row r="10" spans="1:14" s="1" customFormat="1" ht="16.2" thickBot="1" x14ac:dyDescent="0.35">
      <c r="A10" s="27" t="s">
        <v>22</v>
      </c>
      <c r="B10" s="28" t="s">
        <v>23</v>
      </c>
      <c r="C10" s="29" t="s">
        <v>24</v>
      </c>
      <c r="D10" s="30">
        <f t="shared" si="0"/>
        <v>0.9</v>
      </c>
      <c r="E10" s="30">
        <f t="shared" si="1"/>
        <v>0.87</v>
      </c>
      <c r="F10" s="31">
        <f>+L10/6</f>
        <v>0.78583333333333316</v>
      </c>
      <c r="G10" s="31">
        <f>+F10</f>
        <v>0.78583333333333316</v>
      </c>
      <c r="H10" s="33" t="s">
        <v>25</v>
      </c>
      <c r="I10" s="34">
        <f t="shared" si="2"/>
        <v>3.3333333333333361E-2</v>
      </c>
      <c r="J10" s="41">
        <f>6*0.159</f>
        <v>0.95399999999999996</v>
      </c>
      <c r="K10" s="42" t="s">
        <v>26</v>
      </c>
      <c r="L10" s="43">
        <f>4.1*1.15</f>
        <v>4.714999999999999</v>
      </c>
      <c r="M10" s="35" t="s">
        <v>27</v>
      </c>
      <c r="N10" s="35" t="s">
        <v>28</v>
      </c>
    </row>
    <row r="11" spans="1:14" s="1" customFormat="1" ht="16.2" thickBot="1" x14ac:dyDescent="0.35">
      <c r="A11" s="27" t="s">
        <v>29</v>
      </c>
      <c r="B11" s="28" t="s">
        <v>30</v>
      </c>
      <c r="C11" s="29" t="s">
        <v>24</v>
      </c>
      <c r="D11" s="30">
        <f t="shared" si="0"/>
        <v>1.29</v>
      </c>
      <c r="E11" s="30">
        <f t="shared" si="1"/>
        <v>1.25</v>
      </c>
      <c r="F11" s="31">
        <f t="shared" ref="F11:F16" si="3">+L11/6</f>
        <v>1.1308333333333334</v>
      </c>
      <c r="G11" s="31">
        <f>+F11</f>
        <v>1.1308333333333334</v>
      </c>
      <c r="H11" s="33" t="s">
        <v>31</v>
      </c>
      <c r="I11" s="34">
        <f>(-E11+D11)/D11</f>
        <v>3.1007751937984523E-2</v>
      </c>
      <c r="J11" s="41">
        <f>6*0.2</f>
        <v>1.2000000000000002</v>
      </c>
      <c r="K11" s="42" t="s">
        <v>26</v>
      </c>
      <c r="L11" s="43">
        <f>5.9*1.15</f>
        <v>6.7850000000000001</v>
      </c>
      <c r="M11" s="35" t="s">
        <v>27</v>
      </c>
      <c r="N11" s="35" t="s">
        <v>32</v>
      </c>
    </row>
    <row r="12" spans="1:14" s="1" customFormat="1" ht="16.2" thickBot="1" x14ac:dyDescent="0.35">
      <c r="A12" s="27" t="s">
        <v>33</v>
      </c>
      <c r="B12" s="36" t="s">
        <v>34</v>
      </c>
      <c r="C12" s="37" t="s">
        <v>24</v>
      </c>
      <c r="D12" s="38">
        <f t="shared" si="0"/>
        <v>9.15</v>
      </c>
      <c r="E12" s="38">
        <f t="shared" si="1"/>
        <v>8.48</v>
      </c>
      <c r="F12" s="39">
        <f t="shared" si="3"/>
        <v>8.0258614999999995</v>
      </c>
      <c r="G12" s="39">
        <f>0.96*F12</f>
        <v>7.7048270399999996</v>
      </c>
      <c r="H12" s="33" t="s">
        <v>35</v>
      </c>
      <c r="I12" s="6">
        <f t="shared" si="2"/>
        <v>7.3224043715846981E-2</v>
      </c>
      <c r="J12" s="44">
        <f>6*1.037</f>
        <v>6.2219999999999995</v>
      </c>
      <c r="K12" t="s">
        <v>26</v>
      </c>
      <c r="L12" s="45">
        <f>6.73*1.15*J12</f>
        <v>48.155168999999994</v>
      </c>
      <c r="M12" s="1" t="s">
        <v>27</v>
      </c>
    </row>
    <row r="13" spans="1:14" s="1" customFormat="1" ht="16.2" thickBot="1" x14ac:dyDescent="0.35">
      <c r="A13" s="27" t="s">
        <v>36</v>
      </c>
      <c r="B13" s="36" t="s">
        <v>37</v>
      </c>
      <c r="C13" s="37" t="s">
        <v>24</v>
      </c>
      <c r="D13" s="38">
        <f t="shared" si="0"/>
        <v>5.51</v>
      </c>
      <c r="E13" s="38">
        <f t="shared" si="1"/>
        <v>5.0999999999999996</v>
      </c>
      <c r="F13" s="39">
        <f t="shared" si="3"/>
        <v>4.8294479999999993</v>
      </c>
      <c r="G13" s="39">
        <f>0.96*F13</f>
        <v>4.6362700799999992</v>
      </c>
      <c r="H13" s="33" t="s">
        <v>35</v>
      </c>
      <c r="I13" s="6">
        <f t="shared" si="2"/>
        <v>7.4410163339382968E-2</v>
      </c>
      <c r="J13" s="44">
        <f>6*0.624</f>
        <v>3.7439999999999998</v>
      </c>
      <c r="K13" t="s">
        <v>26</v>
      </c>
      <c r="L13" s="45">
        <f>6.73*1.15*J13</f>
        <v>28.976687999999996</v>
      </c>
      <c r="M13" s="1" t="s">
        <v>27</v>
      </c>
    </row>
    <row r="14" spans="1:14" s="1" customFormat="1" ht="16.2" thickBot="1" x14ac:dyDescent="0.35">
      <c r="A14" s="27" t="s">
        <v>38</v>
      </c>
      <c r="B14" s="28" t="s">
        <v>39</v>
      </c>
      <c r="C14" s="29" t="s">
        <v>24</v>
      </c>
      <c r="D14" s="30">
        <f t="shared" si="0"/>
        <v>5.97</v>
      </c>
      <c r="E14" s="30">
        <f t="shared" si="1"/>
        <v>5.76</v>
      </c>
      <c r="F14" s="31">
        <f t="shared" si="3"/>
        <v>5.2324999999999999</v>
      </c>
      <c r="G14" s="31">
        <f>+F14</f>
        <v>5.2324999999999999</v>
      </c>
      <c r="H14" s="33" t="s">
        <v>40</v>
      </c>
      <c r="I14" s="34">
        <f t="shared" si="2"/>
        <v>3.5175879396984917E-2</v>
      </c>
      <c r="J14" s="41">
        <f>6*0.948</f>
        <v>5.6879999999999997</v>
      </c>
      <c r="K14" s="42" t="s">
        <v>26</v>
      </c>
      <c r="L14" s="43">
        <f>27.3*1.15</f>
        <v>31.395</v>
      </c>
      <c r="M14" s="35" t="s">
        <v>27</v>
      </c>
      <c r="N14" s="35" t="s">
        <v>41</v>
      </c>
    </row>
    <row r="15" spans="1:14" s="1" customFormat="1" ht="16.2" thickBot="1" x14ac:dyDescent="0.35">
      <c r="A15" s="27" t="s">
        <v>42</v>
      </c>
      <c r="B15" s="28" t="s">
        <v>43</v>
      </c>
      <c r="C15" s="29" t="s">
        <v>24</v>
      </c>
      <c r="D15" s="30">
        <f t="shared" si="0"/>
        <v>4.0199999999999996</v>
      </c>
      <c r="E15" s="30">
        <f t="shared" si="1"/>
        <v>3.88</v>
      </c>
      <c r="F15" s="31">
        <f t="shared" si="3"/>
        <v>3.526666666666666</v>
      </c>
      <c r="G15" s="31">
        <f>+F15</f>
        <v>3.526666666666666</v>
      </c>
      <c r="H15" s="33" t="s">
        <v>44</v>
      </c>
      <c r="I15" s="34">
        <f t="shared" si="2"/>
        <v>3.4825870646766094E-2</v>
      </c>
      <c r="J15" s="41">
        <f>6*0.705</f>
        <v>4.2299999999999995</v>
      </c>
      <c r="K15" s="42" t="s">
        <v>26</v>
      </c>
      <c r="L15" s="43">
        <f>18.4*1.15</f>
        <v>21.159999999999997</v>
      </c>
      <c r="M15" s="35" t="s">
        <v>27</v>
      </c>
      <c r="N15" s="35" t="s">
        <v>45</v>
      </c>
    </row>
    <row r="16" spans="1:14" s="1" customFormat="1" ht="16.2" thickBot="1" x14ac:dyDescent="0.35">
      <c r="A16" s="27" t="s">
        <v>46</v>
      </c>
      <c r="B16" s="28" t="s">
        <v>47</v>
      </c>
      <c r="C16" s="29" t="s">
        <v>24</v>
      </c>
      <c r="D16" s="30">
        <f t="shared" si="0"/>
        <v>8.2999999999999989</v>
      </c>
      <c r="E16" s="30">
        <f t="shared" si="1"/>
        <v>8.02</v>
      </c>
      <c r="F16" s="31">
        <f t="shared" si="3"/>
        <v>7.2833333333333323</v>
      </c>
      <c r="G16" s="31">
        <f>+F16</f>
        <v>7.2833333333333323</v>
      </c>
      <c r="H16" s="33" t="s">
        <v>48</v>
      </c>
      <c r="I16" s="34">
        <f t="shared" si="2"/>
        <v>3.3734939759036069E-2</v>
      </c>
      <c r="J16" s="41">
        <f>6*0.786</f>
        <v>4.7160000000000002</v>
      </c>
      <c r="K16" s="42" t="s">
        <v>26</v>
      </c>
      <c r="L16" s="43">
        <f>38*1.15</f>
        <v>43.699999999999996</v>
      </c>
      <c r="M16" s="35" t="s">
        <v>27</v>
      </c>
      <c r="N16" s="35" t="s">
        <v>49</v>
      </c>
    </row>
    <row r="17" spans="1:15" s="1" customFormat="1" ht="16.2" thickBot="1" x14ac:dyDescent="0.35">
      <c r="A17" s="27" t="s">
        <v>50</v>
      </c>
      <c r="B17" s="36" t="s">
        <v>51</v>
      </c>
      <c r="C17" s="37" t="s">
        <v>24</v>
      </c>
      <c r="D17" s="38">
        <f t="shared" si="0"/>
        <v>0.18000000000000002</v>
      </c>
      <c r="E17" s="38">
        <f t="shared" si="1"/>
        <v>0.17</v>
      </c>
      <c r="F17" s="39">
        <v>0.15</v>
      </c>
      <c r="G17" s="46">
        <v>0.15</v>
      </c>
      <c r="H17" s="40" t="s">
        <v>52</v>
      </c>
      <c r="I17" s="6">
        <f t="shared" si="2"/>
        <v>5.5555555555555601E-2</v>
      </c>
      <c r="J17" s="47"/>
      <c r="K17"/>
    </row>
    <row r="18" spans="1:15" s="1" customFormat="1" ht="16.2" thickBot="1" x14ac:dyDescent="0.35">
      <c r="A18" s="27" t="s">
        <v>53</v>
      </c>
      <c r="B18" s="36" t="s">
        <v>54</v>
      </c>
      <c r="C18" s="37" t="s">
        <v>55</v>
      </c>
      <c r="D18" s="38">
        <f t="shared" si="0"/>
        <v>0.04</v>
      </c>
      <c r="E18" s="38">
        <f t="shared" si="1"/>
        <v>0.04</v>
      </c>
      <c r="F18" s="39">
        <v>0.03</v>
      </c>
      <c r="G18" s="39">
        <v>0.03</v>
      </c>
      <c r="H18" s="40" t="s">
        <v>56</v>
      </c>
      <c r="I18" s="6">
        <f t="shared" si="2"/>
        <v>0</v>
      </c>
    </row>
    <row r="19" spans="1:15" s="1" customFormat="1" ht="16.2" thickBot="1" x14ac:dyDescent="0.35">
      <c r="A19" s="27" t="s">
        <v>57</v>
      </c>
      <c r="B19" s="36" t="s">
        <v>58</v>
      </c>
      <c r="C19" s="37" t="s">
        <v>55</v>
      </c>
      <c r="D19" s="38">
        <f t="shared" si="0"/>
        <v>0.04</v>
      </c>
      <c r="E19" s="38">
        <f t="shared" si="1"/>
        <v>0.04</v>
      </c>
      <c r="F19" s="39">
        <v>0.03</v>
      </c>
      <c r="G19" s="39">
        <v>0.03</v>
      </c>
      <c r="H19" s="40" t="s">
        <v>56</v>
      </c>
      <c r="I19" s="6">
        <f t="shared" si="2"/>
        <v>0</v>
      </c>
    </row>
    <row r="20" spans="1:15" s="1" customFormat="1" ht="16.2" thickBot="1" x14ac:dyDescent="0.35">
      <c r="A20" s="27" t="s">
        <v>59</v>
      </c>
      <c r="B20" s="36" t="s">
        <v>60</v>
      </c>
      <c r="C20" s="37" t="s">
        <v>55</v>
      </c>
      <c r="D20" s="38">
        <f t="shared" si="0"/>
        <v>0.04</v>
      </c>
      <c r="E20" s="38">
        <f t="shared" si="1"/>
        <v>0.04</v>
      </c>
      <c r="F20" s="39">
        <v>0.03</v>
      </c>
      <c r="G20" s="39">
        <v>0.03</v>
      </c>
      <c r="H20" s="40" t="s">
        <v>56</v>
      </c>
      <c r="I20" s="6">
        <f t="shared" si="2"/>
        <v>0</v>
      </c>
    </row>
    <row r="21" spans="1:15" s="1" customFormat="1" ht="16.2" thickBot="1" x14ac:dyDescent="0.35">
      <c r="A21" s="27" t="s">
        <v>61</v>
      </c>
      <c r="B21" s="36" t="s">
        <v>62</v>
      </c>
      <c r="C21" s="37" t="s">
        <v>55</v>
      </c>
      <c r="D21" s="38">
        <f t="shared" si="0"/>
        <v>0.03</v>
      </c>
      <c r="E21" s="38">
        <f t="shared" si="1"/>
        <v>0.03</v>
      </c>
      <c r="F21" s="48">
        <v>0.02</v>
      </c>
      <c r="G21" s="48">
        <v>0.02</v>
      </c>
      <c r="H21" s="40" t="s">
        <v>56</v>
      </c>
      <c r="I21" s="6">
        <f t="shared" si="2"/>
        <v>0</v>
      </c>
    </row>
    <row r="22" spans="1:15" s="1" customFormat="1" ht="16.2" thickBot="1" x14ac:dyDescent="0.35">
      <c r="A22" s="27" t="s">
        <v>63</v>
      </c>
      <c r="B22" s="26" t="s">
        <v>64</v>
      </c>
      <c r="C22" s="49" t="s">
        <v>24</v>
      </c>
      <c r="D22" s="38">
        <f t="shared" si="0"/>
        <v>29.91</v>
      </c>
      <c r="E22" s="38">
        <f t="shared" si="1"/>
        <v>27.72</v>
      </c>
      <c r="F22" s="50">
        <f>150*1.05/6</f>
        <v>26.25</v>
      </c>
      <c r="G22" s="50">
        <f>+F22*0.96</f>
        <v>25.2</v>
      </c>
      <c r="H22" s="51" t="s">
        <v>65</v>
      </c>
      <c r="I22" s="6">
        <f t="shared" si="2"/>
        <v>7.3219658976930835E-2</v>
      </c>
    </row>
    <row r="23" spans="1:15" s="1" customFormat="1" ht="16.2" thickBot="1" x14ac:dyDescent="0.35">
      <c r="A23" s="27" t="s">
        <v>66</v>
      </c>
      <c r="B23" s="26"/>
      <c r="C23" s="49"/>
      <c r="D23" s="38"/>
      <c r="E23" s="38"/>
      <c r="F23" s="48"/>
      <c r="G23" s="50"/>
      <c r="H23" s="52"/>
      <c r="I23" s="6"/>
    </row>
    <row r="24" spans="1:15" s="1" customFormat="1" ht="16.2" thickBot="1" x14ac:dyDescent="0.35">
      <c r="A24" s="27" t="s">
        <v>67</v>
      </c>
      <c r="B24" s="26"/>
      <c r="C24" s="49"/>
      <c r="D24" s="38"/>
      <c r="E24" s="38"/>
      <c r="F24" s="48"/>
      <c r="G24" s="50"/>
      <c r="H24" s="52"/>
      <c r="I24" s="6"/>
    </row>
    <row r="25" spans="1:15" s="1" customFormat="1" ht="16.2" thickBot="1" x14ac:dyDescent="0.35">
      <c r="A25" s="27" t="s">
        <v>68</v>
      </c>
      <c r="B25" s="26"/>
      <c r="C25" s="49"/>
      <c r="D25" s="38"/>
      <c r="E25" s="38"/>
      <c r="F25" s="48"/>
      <c r="G25" s="50"/>
      <c r="H25" s="52"/>
      <c r="I25" s="6"/>
    </row>
    <row r="26" spans="1:15" s="1" customFormat="1" ht="16.2" thickBot="1" x14ac:dyDescent="0.35">
      <c r="A26" s="27" t="s">
        <v>69</v>
      </c>
      <c r="B26" s="26"/>
      <c r="C26" s="49"/>
      <c r="D26" s="38"/>
      <c r="E26" s="38"/>
      <c r="F26" s="48"/>
      <c r="G26" s="50"/>
      <c r="H26" s="52"/>
      <c r="I26" s="6"/>
    </row>
    <row r="27" spans="1:15" s="1" customFormat="1" ht="16.2" thickBot="1" x14ac:dyDescent="0.35">
      <c r="A27" s="27"/>
      <c r="B27" s="26"/>
      <c r="C27" s="49"/>
      <c r="D27" s="38"/>
      <c r="E27" s="38"/>
      <c r="F27" s="48"/>
      <c r="G27" s="50"/>
      <c r="H27" s="52"/>
      <c r="I27" s="6"/>
    </row>
    <row r="28" spans="1:15" s="1" customFormat="1" ht="21.6" thickBot="1" x14ac:dyDescent="0.45">
      <c r="A28" s="25"/>
      <c r="B28" s="53" t="s">
        <v>70</v>
      </c>
      <c r="C28" s="20"/>
      <c r="D28" s="38"/>
      <c r="E28" s="38"/>
      <c r="F28" s="54"/>
      <c r="G28" s="55"/>
      <c r="H28" s="24"/>
      <c r="I28" s="6"/>
      <c r="L28" s="1" t="s">
        <v>71</v>
      </c>
      <c r="N28" s="1" t="s">
        <v>72</v>
      </c>
    </row>
    <row r="29" spans="1:15" s="1" customFormat="1" ht="16.2" thickBot="1" x14ac:dyDescent="0.35">
      <c r="A29" s="27" t="s">
        <v>73</v>
      </c>
      <c r="B29" s="28" t="s">
        <v>74</v>
      </c>
      <c r="C29" s="29" t="s">
        <v>75</v>
      </c>
      <c r="D29" s="30">
        <f t="shared" ref="D29:D89" si="4">ROUNDUP(F29*0.87*1.1/0.84,2)</f>
        <v>35.89</v>
      </c>
      <c r="E29" s="30">
        <f t="shared" ref="E29:E89" si="5">ROUNDUP(G29*1.1,2)</f>
        <v>34.65</v>
      </c>
      <c r="F29" s="56">
        <f>30*1.05</f>
        <v>31.5</v>
      </c>
      <c r="G29" s="56">
        <f>30*1.05</f>
        <v>31.5</v>
      </c>
      <c r="H29" s="33" t="s">
        <v>76</v>
      </c>
      <c r="I29" s="34">
        <f t="shared" ref="I29:I89" si="6">(-E29+D29)/D29</f>
        <v>3.4550013931457284E-2</v>
      </c>
      <c r="J29" s="35"/>
      <c r="K29" s="57">
        <f>ROUNDUP(L29/6.97,2)</f>
        <v>25.830000000000002</v>
      </c>
      <c r="L29" s="35">
        <v>180</v>
      </c>
      <c r="M29" s="35" t="s">
        <v>77</v>
      </c>
      <c r="N29" s="43">
        <f>+O29*6.97</f>
        <v>209.1</v>
      </c>
      <c r="O29" s="43">
        <v>30</v>
      </c>
    </row>
    <row r="30" spans="1:15" s="1" customFormat="1" ht="16.2" thickBot="1" x14ac:dyDescent="0.35">
      <c r="A30" s="27" t="s">
        <v>78</v>
      </c>
      <c r="B30" s="28" t="s">
        <v>79</v>
      </c>
      <c r="C30" s="29" t="s">
        <v>75</v>
      </c>
      <c r="D30" s="30">
        <f t="shared" si="4"/>
        <v>34.699999999999996</v>
      </c>
      <c r="E30" s="30">
        <f t="shared" si="5"/>
        <v>33.5</v>
      </c>
      <c r="F30" s="56">
        <f>29*1.05</f>
        <v>30.450000000000003</v>
      </c>
      <c r="G30" s="56">
        <f>29*1.05</f>
        <v>30.450000000000003</v>
      </c>
      <c r="H30" s="33" t="s">
        <v>80</v>
      </c>
      <c r="I30" s="34">
        <f t="shared" si="6"/>
        <v>3.4582132564841377E-2</v>
      </c>
      <c r="J30" s="35"/>
      <c r="K30" s="57">
        <f>ROUNDUP(L30/6.97,2)</f>
        <v>25.110000000000003</v>
      </c>
      <c r="L30" s="35">
        <v>175</v>
      </c>
      <c r="M30" s="35" t="s">
        <v>81</v>
      </c>
      <c r="N30" s="43">
        <f>+O30*6.97</f>
        <v>202.13</v>
      </c>
      <c r="O30" s="43">
        <v>29</v>
      </c>
    </row>
    <row r="31" spans="1:15" s="1" customFormat="1" ht="16.2" thickBot="1" x14ac:dyDescent="0.35">
      <c r="A31" s="27" t="s">
        <v>82</v>
      </c>
      <c r="B31" s="36" t="s">
        <v>83</v>
      </c>
      <c r="C31" s="37" t="s">
        <v>75</v>
      </c>
      <c r="D31" s="38">
        <f t="shared" si="4"/>
        <v>29.630000000000003</v>
      </c>
      <c r="E31" s="38">
        <f t="shared" si="5"/>
        <v>27.5</v>
      </c>
      <c r="F31" s="58">
        <v>26</v>
      </c>
      <c r="G31" s="59">
        <v>25</v>
      </c>
      <c r="H31" s="40" t="s">
        <v>84</v>
      </c>
      <c r="I31" s="6">
        <f t="shared" si="6"/>
        <v>7.1886601417482363E-2</v>
      </c>
    </row>
    <row r="32" spans="1:15" s="1" customFormat="1" ht="16.2" thickBot="1" x14ac:dyDescent="0.35">
      <c r="A32" s="27" t="s">
        <v>85</v>
      </c>
      <c r="B32" s="36" t="s">
        <v>86</v>
      </c>
      <c r="C32" s="37" t="s">
        <v>75</v>
      </c>
      <c r="D32" s="38">
        <f t="shared" si="4"/>
        <v>27.35</v>
      </c>
      <c r="E32" s="38">
        <f t="shared" si="5"/>
        <v>26.4</v>
      </c>
      <c r="F32" s="58">
        <v>24</v>
      </c>
      <c r="G32" s="59">
        <v>24</v>
      </c>
      <c r="H32" s="40" t="s">
        <v>84</v>
      </c>
      <c r="I32" s="6">
        <f t="shared" si="6"/>
        <v>3.4734917733089683E-2</v>
      </c>
    </row>
    <row r="33" spans="1:14" s="1" customFormat="1" ht="16.2" thickBot="1" x14ac:dyDescent="0.35">
      <c r="A33" s="27" t="s">
        <v>87</v>
      </c>
      <c r="B33" s="36" t="s">
        <v>88</v>
      </c>
      <c r="C33" s="37" t="s">
        <v>75</v>
      </c>
      <c r="D33" s="38">
        <f t="shared" si="4"/>
        <v>23.930000000000003</v>
      </c>
      <c r="E33" s="38">
        <f t="shared" si="5"/>
        <v>23.1</v>
      </c>
      <c r="F33" s="58">
        <v>21</v>
      </c>
      <c r="G33" s="59">
        <v>21</v>
      </c>
      <c r="H33" s="40" t="s">
        <v>84</v>
      </c>
      <c r="I33" s="6">
        <f t="shared" si="6"/>
        <v>3.4684496447973327E-2</v>
      </c>
    </row>
    <row r="34" spans="1:14" s="1" customFormat="1" ht="16.2" thickBot="1" x14ac:dyDescent="0.35">
      <c r="A34" s="27" t="s">
        <v>89</v>
      </c>
      <c r="B34" s="28" t="s">
        <v>90</v>
      </c>
      <c r="C34" s="29" t="s">
        <v>75</v>
      </c>
      <c r="D34" s="30">
        <f t="shared" si="4"/>
        <v>46.66</v>
      </c>
      <c r="E34" s="30">
        <f t="shared" si="5"/>
        <v>45.05</v>
      </c>
      <c r="F34" s="56">
        <f>39*1.05</f>
        <v>40.950000000000003</v>
      </c>
      <c r="G34" s="56">
        <f>39*1.05</f>
        <v>40.950000000000003</v>
      </c>
      <c r="H34" s="33" t="s">
        <v>91</v>
      </c>
      <c r="I34" s="34">
        <f t="shared" si="6"/>
        <v>3.4504929275610795E-2</v>
      </c>
      <c r="J34" s="35"/>
      <c r="K34" s="35">
        <f>+L34/6.96</f>
        <v>38.793103448275865</v>
      </c>
      <c r="L34" s="35">
        <v>270</v>
      </c>
    </row>
    <row r="35" spans="1:14" s="1" customFormat="1" ht="16.2" thickBot="1" x14ac:dyDescent="0.35">
      <c r="A35" s="27" t="s">
        <v>92</v>
      </c>
      <c r="B35" s="28" t="s">
        <v>93</v>
      </c>
      <c r="C35" s="29" t="s">
        <v>75</v>
      </c>
      <c r="D35" s="30">
        <f t="shared" si="4"/>
        <v>45.46</v>
      </c>
      <c r="E35" s="30">
        <f t="shared" si="5"/>
        <v>43.89</v>
      </c>
      <c r="F35" s="56">
        <f>38*1.05</f>
        <v>39.9</v>
      </c>
      <c r="G35" s="56">
        <f>38*1.05</f>
        <v>39.9</v>
      </c>
      <c r="H35" s="33" t="s">
        <v>94</v>
      </c>
      <c r="I35" s="34">
        <f t="shared" si="6"/>
        <v>3.4535855697316327E-2</v>
      </c>
      <c r="J35" s="35"/>
      <c r="K35" s="35">
        <f>+L35/6.96</f>
        <v>37.356321839080458</v>
      </c>
      <c r="L35" s="35">
        <v>260</v>
      </c>
    </row>
    <row r="36" spans="1:14" s="1" customFormat="1" ht="16.2" thickBot="1" x14ac:dyDescent="0.35">
      <c r="A36" s="27" t="s">
        <v>95</v>
      </c>
      <c r="B36" s="36" t="s">
        <v>96</v>
      </c>
      <c r="C36" s="37" t="s">
        <v>75</v>
      </c>
      <c r="D36" s="38">
        <f t="shared" si="4"/>
        <v>47.85</v>
      </c>
      <c r="E36" s="38">
        <f t="shared" si="5"/>
        <v>44</v>
      </c>
      <c r="F36" s="58">
        <v>42</v>
      </c>
      <c r="G36" s="59">
        <v>40</v>
      </c>
      <c r="H36" s="40" t="s">
        <v>84</v>
      </c>
      <c r="I36" s="6">
        <f t="shared" si="6"/>
        <v>8.0459770114942555E-2</v>
      </c>
    </row>
    <row r="37" spans="1:14" s="1" customFormat="1" ht="16.2" thickBot="1" x14ac:dyDescent="0.35">
      <c r="A37" s="27" t="s">
        <v>97</v>
      </c>
      <c r="B37" s="36" t="s">
        <v>98</v>
      </c>
      <c r="C37" s="37" t="s">
        <v>75</v>
      </c>
      <c r="D37" s="38">
        <f t="shared" si="4"/>
        <v>45.58</v>
      </c>
      <c r="E37" s="38">
        <f t="shared" si="5"/>
        <v>41.8</v>
      </c>
      <c r="F37" s="39">
        <v>40</v>
      </c>
      <c r="G37" s="46">
        <v>38</v>
      </c>
      <c r="H37" s="40" t="s">
        <v>84</v>
      </c>
      <c r="I37" s="6">
        <f t="shared" si="6"/>
        <v>8.2931110136024597E-2</v>
      </c>
    </row>
    <row r="38" spans="1:14" s="1" customFormat="1" ht="16.2" thickBot="1" x14ac:dyDescent="0.35">
      <c r="A38" s="27" t="s">
        <v>99</v>
      </c>
      <c r="B38" s="36" t="s">
        <v>100</v>
      </c>
      <c r="C38" s="37" t="s">
        <v>75</v>
      </c>
      <c r="D38" s="38">
        <f t="shared" si="4"/>
        <v>43.3</v>
      </c>
      <c r="E38" s="38">
        <f t="shared" si="5"/>
        <v>39.6</v>
      </c>
      <c r="F38" s="39">
        <v>38</v>
      </c>
      <c r="G38" s="46">
        <v>36</v>
      </c>
      <c r="H38" s="40" t="s">
        <v>84</v>
      </c>
      <c r="I38" s="6">
        <f t="shared" si="6"/>
        <v>8.5450346420323231E-2</v>
      </c>
    </row>
    <row r="39" spans="1:14" s="1" customFormat="1" ht="16.2" thickBot="1" x14ac:dyDescent="0.35">
      <c r="A39" s="27" t="s">
        <v>101</v>
      </c>
      <c r="B39" s="36" t="s">
        <v>102</v>
      </c>
      <c r="C39" s="37" t="s">
        <v>75</v>
      </c>
      <c r="D39" s="38">
        <f t="shared" si="4"/>
        <v>50.129999999999995</v>
      </c>
      <c r="E39" s="38">
        <f t="shared" si="5"/>
        <v>48.4</v>
      </c>
      <c r="F39" s="46">
        <v>44</v>
      </c>
      <c r="G39" s="46">
        <v>44</v>
      </c>
      <c r="H39" s="40" t="s">
        <v>84</v>
      </c>
      <c r="I39" s="6">
        <f t="shared" si="6"/>
        <v>3.4510273289447377E-2</v>
      </c>
    </row>
    <row r="40" spans="1:14" s="1" customFormat="1" ht="16.2" thickBot="1" x14ac:dyDescent="0.35">
      <c r="A40" s="27" t="s">
        <v>103</v>
      </c>
      <c r="B40" s="36" t="s">
        <v>104</v>
      </c>
      <c r="C40" s="37" t="s">
        <v>75</v>
      </c>
      <c r="D40" s="38">
        <f t="shared" si="4"/>
        <v>52.41</v>
      </c>
      <c r="E40" s="38">
        <f t="shared" si="5"/>
        <v>50.6</v>
      </c>
      <c r="F40" s="46">
        <v>46</v>
      </c>
      <c r="G40" s="46">
        <v>46</v>
      </c>
      <c r="H40" s="40" t="s">
        <v>84</v>
      </c>
      <c r="I40" s="6">
        <f t="shared" si="6"/>
        <v>3.4535394008776858E-2</v>
      </c>
      <c r="N40" s="1" t="s">
        <v>105</v>
      </c>
    </row>
    <row r="41" spans="1:14" s="1" customFormat="1" ht="16.2" thickBot="1" x14ac:dyDescent="0.35">
      <c r="A41" s="27" t="s">
        <v>106</v>
      </c>
      <c r="B41" s="28" t="s">
        <v>107</v>
      </c>
      <c r="C41" s="29" t="s">
        <v>108</v>
      </c>
      <c r="D41" s="30">
        <f t="shared" si="4"/>
        <v>10.799999999999999</v>
      </c>
      <c r="E41" s="30">
        <f t="shared" si="5"/>
        <v>10.43</v>
      </c>
      <c r="F41" s="31">
        <f>+L41/6</f>
        <v>9.4779166666666672</v>
      </c>
      <c r="G41" s="31">
        <f>+F41</f>
        <v>9.4779166666666672</v>
      </c>
      <c r="H41" s="33" t="s">
        <v>109</v>
      </c>
      <c r="I41" s="34">
        <f t="shared" si="6"/>
        <v>3.4259259259259191E-2</v>
      </c>
      <c r="J41" s="41">
        <f>6*1.998</f>
        <v>11.988</v>
      </c>
      <c r="K41" s="42" t="s">
        <v>110</v>
      </c>
      <c r="L41" s="43">
        <f>49.45*1.15</f>
        <v>56.8675</v>
      </c>
      <c r="M41" s="35" t="s">
        <v>27</v>
      </c>
      <c r="N41" s="35" t="s">
        <v>111</v>
      </c>
    </row>
    <row r="42" spans="1:14" s="1" customFormat="1" ht="16.2" thickBot="1" x14ac:dyDescent="0.35">
      <c r="A42" s="27" t="s">
        <v>112</v>
      </c>
      <c r="B42" s="28" t="s">
        <v>113</v>
      </c>
      <c r="C42" s="29" t="s">
        <v>114</v>
      </c>
      <c r="D42" s="30">
        <f t="shared" si="4"/>
        <v>9.83</v>
      </c>
      <c r="E42" s="30">
        <f t="shared" si="5"/>
        <v>9.49</v>
      </c>
      <c r="F42" s="31">
        <f>+L42</f>
        <v>8.625</v>
      </c>
      <c r="G42" s="32">
        <f>+F42</f>
        <v>8.625</v>
      </c>
      <c r="H42" s="33" t="s">
        <v>115</v>
      </c>
      <c r="I42" s="34">
        <f t="shared" si="6"/>
        <v>3.4587995930823991E-2</v>
      </c>
      <c r="J42" s="41">
        <f>6*0.257</f>
        <v>1.542</v>
      </c>
      <c r="K42" s="42" t="s">
        <v>26</v>
      </c>
      <c r="L42" s="43">
        <f>7.5*1.15</f>
        <v>8.625</v>
      </c>
      <c r="M42" s="35" t="s">
        <v>27</v>
      </c>
      <c r="N42" s="35" t="s">
        <v>116</v>
      </c>
    </row>
    <row r="43" spans="1:14" s="1" customFormat="1" ht="16.2" thickBot="1" x14ac:dyDescent="0.35">
      <c r="A43" s="27" t="s">
        <v>117</v>
      </c>
      <c r="B43" s="28" t="s">
        <v>118</v>
      </c>
      <c r="C43" s="29" t="s">
        <v>114</v>
      </c>
      <c r="D43" s="30">
        <f t="shared" si="4"/>
        <v>5.8999999999999995</v>
      </c>
      <c r="E43" s="30">
        <f t="shared" si="5"/>
        <v>5.7</v>
      </c>
      <c r="F43" s="31">
        <f>+L43</f>
        <v>5.1749999999999998</v>
      </c>
      <c r="G43" s="32">
        <f>+F43</f>
        <v>5.1749999999999998</v>
      </c>
      <c r="H43" s="33" t="s">
        <v>119</v>
      </c>
      <c r="I43" s="34">
        <f t="shared" si="6"/>
        <v>3.3898305084745645E-2</v>
      </c>
      <c r="J43" s="41">
        <f>6*0.151</f>
        <v>0.90599999999999992</v>
      </c>
      <c r="K43" s="42" t="s">
        <v>26</v>
      </c>
      <c r="L43" s="43">
        <f>4.5*1.15</f>
        <v>5.1749999999999998</v>
      </c>
      <c r="M43" s="35" t="s">
        <v>27</v>
      </c>
      <c r="N43" s="35" t="s">
        <v>120</v>
      </c>
    </row>
    <row r="44" spans="1:14" s="1" customFormat="1" ht="16.2" thickBot="1" x14ac:dyDescent="0.35">
      <c r="A44" s="27" t="s">
        <v>121</v>
      </c>
      <c r="B44" s="36" t="s">
        <v>122</v>
      </c>
      <c r="C44" s="37" t="s">
        <v>114</v>
      </c>
      <c r="D44" s="38">
        <f t="shared" si="4"/>
        <v>5.99</v>
      </c>
      <c r="E44" s="38">
        <f t="shared" si="5"/>
        <v>5.5</v>
      </c>
      <c r="F44" s="39">
        <f t="shared" ref="F44:F48" si="7">+G44*1.05</f>
        <v>5.25</v>
      </c>
      <c r="G44" s="46">
        <v>5</v>
      </c>
      <c r="H44" s="40" t="s">
        <v>123</v>
      </c>
      <c r="I44" s="6">
        <f t="shared" si="6"/>
        <v>8.1803005008347279E-2</v>
      </c>
    </row>
    <row r="45" spans="1:14" s="1" customFormat="1" ht="16.2" thickBot="1" x14ac:dyDescent="0.35">
      <c r="A45" s="27" t="s">
        <v>124</v>
      </c>
      <c r="B45" s="36" t="s">
        <v>125</v>
      </c>
      <c r="C45" s="37" t="s">
        <v>114</v>
      </c>
      <c r="D45" s="38">
        <f t="shared" si="4"/>
        <v>5.99</v>
      </c>
      <c r="E45" s="38">
        <f t="shared" si="5"/>
        <v>5.5</v>
      </c>
      <c r="F45" s="39">
        <f t="shared" si="7"/>
        <v>5.25</v>
      </c>
      <c r="G45" s="46">
        <v>5</v>
      </c>
      <c r="H45" s="40" t="s">
        <v>123</v>
      </c>
      <c r="I45" s="6">
        <f t="shared" si="6"/>
        <v>8.1803005008347279E-2</v>
      </c>
    </row>
    <row r="46" spans="1:14" s="1" customFormat="1" ht="16.2" thickBot="1" x14ac:dyDescent="0.35">
      <c r="A46" s="27" t="s">
        <v>126</v>
      </c>
      <c r="B46" s="36" t="s">
        <v>127</v>
      </c>
      <c r="C46" s="37" t="s">
        <v>114</v>
      </c>
      <c r="D46" s="38">
        <f t="shared" si="4"/>
        <v>5.99</v>
      </c>
      <c r="E46" s="38">
        <f t="shared" si="5"/>
        <v>5.5</v>
      </c>
      <c r="F46" s="39">
        <f t="shared" si="7"/>
        <v>5.25</v>
      </c>
      <c r="G46" s="46">
        <v>5</v>
      </c>
      <c r="H46" s="40" t="s">
        <v>123</v>
      </c>
      <c r="I46" s="6">
        <f t="shared" si="6"/>
        <v>8.1803005008347279E-2</v>
      </c>
    </row>
    <row r="47" spans="1:14" s="1" customFormat="1" ht="16.2" thickBot="1" x14ac:dyDescent="0.35">
      <c r="A47" s="27" t="s">
        <v>128</v>
      </c>
      <c r="B47" s="36" t="s">
        <v>129</v>
      </c>
      <c r="C47" s="37" t="s">
        <v>114</v>
      </c>
      <c r="D47" s="38">
        <f t="shared" si="4"/>
        <v>5.99</v>
      </c>
      <c r="E47" s="38">
        <f t="shared" si="5"/>
        <v>5.5</v>
      </c>
      <c r="F47" s="39">
        <f t="shared" si="7"/>
        <v>5.25</v>
      </c>
      <c r="G47" s="46">
        <v>5</v>
      </c>
      <c r="H47" s="40" t="s">
        <v>123</v>
      </c>
      <c r="I47" s="6">
        <f t="shared" si="6"/>
        <v>8.1803005008347279E-2</v>
      </c>
    </row>
    <row r="48" spans="1:14" s="1" customFormat="1" ht="16.2" thickBot="1" x14ac:dyDescent="0.35">
      <c r="A48" s="27" t="s">
        <v>130</v>
      </c>
      <c r="B48" s="36" t="s">
        <v>131</v>
      </c>
      <c r="C48" s="37" t="s">
        <v>55</v>
      </c>
      <c r="D48" s="38">
        <f t="shared" si="4"/>
        <v>101.69000000000001</v>
      </c>
      <c r="E48" s="38">
        <f t="shared" si="5"/>
        <v>93.5</v>
      </c>
      <c r="F48" s="39">
        <f t="shared" si="7"/>
        <v>89.25</v>
      </c>
      <c r="G48" s="46">
        <v>85</v>
      </c>
      <c r="H48" s="40" t="s">
        <v>123</v>
      </c>
      <c r="I48" s="6">
        <f t="shared" si="6"/>
        <v>8.0538892713147917E-2</v>
      </c>
    </row>
    <row r="49" spans="1:12" s="1" customFormat="1" ht="16.2" thickBot="1" x14ac:dyDescent="0.35">
      <c r="A49" s="27" t="s">
        <v>132</v>
      </c>
      <c r="B49" s="36" t="s">
        <v>133</v>
      </c>
      <c r="C49" s="37" t="s">
        <v>55</v>
      </c>
      <c r="D49" s="38">
        <f t="shared" si="4"/>
        <v>79.75</v>
      </c>
      <c r="E49" s="38">
        <f t="shared" si="5"/>
        <v>77</v>
      </c>
      <c r="F49" s="39">
        <v>70</v>
      </c>
      <c r="G49" s="46">
        <v>70</v>
      </c>
      <c r="H49" s="40" t="s">
        <v>134</v>
      </c>
      <c r="I49" s="6">
        <f t="shared" si="6"/>
        <v>3.4482758620689655E-2</v>
      </c>
    </row>
    <row r="50" spans="1:12" s="1" customFormat="1" ht="16.2" thickBot="1" x14ac:dyDescent="0.35">
      <c r="A50" s="27" t="s">
        <v>135</v>
      </c>
      <c r="B50" s="36" t="s">
        <v>136</v>
      </c>
      <c r="C50" s="37" t="s">
        <v>55</v>
      </c>
      <c r="D50" s="38">
        <f t="shared" si="4"/>
        <v>3.42</v>
      </c>
      <c r="E50" s="38">
        <f t="shared" si="5"/>
        <v>3.3</v>
      </c>
      <c r="F50" s="39">
        <v>3</v>
      </c>
      <c r="G50" s="46">
        <v>3</v>
      </c>
      <c r="H50" s="40" t="s">
        <v>84</v>
      </c>
      <c r="I50" s="6">
        <f t="shared" si="6"/>
        <v>3.5087719298245647E-2</v>
      </c>
    </row>
    <row r="51" spans="1:12" s="1" customFormat="1" ht="16.2" thickBot="1" x14ac:dyDescent="0.35">
      <c r="A51" s="27" t="s">
        <v>137</v>
      </c>
      <c r="B51" s="28" t="s">
        <v>138</v>
      </c>
      <c r="C51" s="29" t="s">
        <v>55</v>
      </c>
      <c r="D51" s="30">
        <f t="shared" si="4"/>
        <v>2.9099999999999997</v>
      </c>
      <c r="E51" s="30">
        <f t="shared" si="5"/>
        <v>2.8099999999999996</v>
      </c>
      <c r="F51" s="31">
        <f>+K51+0.15</f>
        <v>2.5499999999999998</v>
      </c>
      <c r="G51" s="32">
        <f>+F51</f>
        <v>2.5499999999999998</v>
      </c>
      <c r="H51" s="33" t="s">
        <v>139</v>
      </c>
      <c r="I51" s="34">
        <f t="shared" si="6"/>
        <v>3.4364261168384917E-2</v>
      </c>
      <c r="J51" s="35"/>
      <c r="K51" s="43">
        <v>2.4</v>
      </c>
      <c r="L51" s="35" t="s">
        <v>140</v>
      </c>
    </row>
    <row r="52" spans="1:12" s="1" customFormat="1" ht="16.2" thickBot="1" x14ac:dyDescent="0.35">
      <c r="A52" s="27" t="s">
        <v>141</v>
      </c>
      <c r="B52" s="28" t="s">
        <v>142</v>
      </c>
      <c r="C52" s="29" t="s">
        <v>55</v>
      </c>
      <c r="D52" s="30">
        <f t="shared" si="4"/>
        <v>3.59</v>
      </c>
      <c r="E52" s="30">
        <f t="shared" si="5"/>
        <v>3.4699999999999998</v>
      </c>
      <c r="F52" s="31">
        <f t="shared" ref="F52:F86" si="8">+K52+0.15</f>
        <v>3.15</v>
      </c>
      <c r="G52" s="32">
        <f t="shared" ref="G52:G86" si="9">+F52</f>
        <v>3.15</v>
      </c>
      <c r="H52" s="33" t="s">
        <v>139</v>
      </c>
      <c r="I52" s="34">
        <f t="shared" si="6"/>
        <v>3.3426183844011172E-2</v>
      </c>
      <c r="J52" s="35"/>
      <c r="K52" s="43">
        <v>3</v>
      </c>
      <c r="L52" s="35" t="s">
        <v>140</v>
      </c>
    </row>
    <row r="53" spans="1:12" s="1" customFormat="1" ht="16.2" thickBot="1" x14ac:dyDescent="0.35">
      <c r="A53" s="27" t="s">
        <v>143</v>
      </c>
      <c r="B53" s="28" t="s">
        <v>144</v>
      </c>
      <c r="C53" s="29" t="s">
        <v>55</v>
      </c>
      <c r="D53" s="30">
        <f t="shared" si="4"/>
        <v>1.32</v>
      </c>
      <c r="E53" s="30">
        <f t="shared" si="5"/>
        <v>1.27</v>
      </c>
      <c r="F53" s="31">
        <f t="shared" si="8"/>
        <v>1.1499999999999999</v>
      </c>
      <c r="G53" s="32">
        <f t="shared" si="9"/>
        <v>1.1499999999999999</v>
      </c>
      <c r="H53" s="33" t="s">
        <v>139</v>
      </c>
      <c r="I53" s="34">
        <f t="shared" si="6"/>
        <v>3.7878787878787908E-2</v>
      </c>
      <c r="J53" s="35"/>
      <c r="K53" s="43">
        <v>1</v>
      </c>
      <c r="L53" s="35" t="s">
        <v>140</v>
      </c>
    </row>
    <row r="54" spans="1:12" s="1" customFormat="1" ht="16.2" thickBot="1" x14ac:dyDescent="0.35">
      <c r="A54" s="27" t="s">
        <v>145</v>
      </c>
      <c r="B54" s="28" t="s">
        <v>146</v>
      </c>
      <c r="C54" s="29" t="s">
        <v>55</v>
      </c>
      <c r="D54" s="30">
        <f t="shared" si="4"/>
        <v>1.32</v>
      </c>
      <c r="E54" s="30">
        <f t="shared" si="5"/>
        <v>1.27</v>
      </c>
      <c r="F54" s="31">
        <f t="shared" si="8"/>
        <v>1.1499999999999999</v>
      </c>
      <c r="G54" s="32">
        <f t="shared" si="9"/>
        <v>1.1499999999999999</v>
      </c>
      <c r="H54" s="33" t="s">
        <v>139</v>
      </c>
      <c r="I54" s="34">
        <f t="shared" si="6"/>
        <v>3.7878787878787908E-2</v>
      </c>
      <c r="J54" s="35"/>
      <c r="K54" s="43">
        <v>1</v>
      </c>
      <c r="L54" s="35" t="s">
        <v>140</v>
      </c>
    </row>
    <row r="55" spans="1:12" s="1" customFormat="1" ht="16.2" thickBot="1" x14ac:dyDescent="0.35">
      <c r="A55" s="27" t="s">
        <v>147</v>
      </c>
      <c r="B55" s="28" t="s">
        <v>148</v>
      </c>
      <c r="C55" s="29" t="s">
        <v>55</v>
      </c>
      <c r="D55" s="30">
        <f t="shared" si="4"/>
        <v>8.7200000000000006</v>
      </c>
      <c r="E55" s="30">
        <f t="shared" si="5"/>
        <v>8.42</v>
      </c>
      <c r="F55" s="31">
        <f t="shared" si="8"/>
        <v>7.65</v>
      </c>
      <c r="G55" s="32">
        <f t="shared" si="9"/>
        <v>7.65</v>
      </c>
      <c r="H55" s="33" t="s">
        <v>139</v>
      </c>
      <c r="I55" s="34">
        <f t="shared" si="6"/>
        <v>3.440366972477072E-2</v>
      </c>
      <c r="J55" s="35"/>
      <c r="K55" s="43">
        <v>7.5</v>
      </c>
      <c r="L55" s="35" t="s">
        <v>140</v>
      </c>
    </row>
    <row r="56" spans="1:12" s="1" customFormat="1" ht="16.2" thickBot="1" x14ac:dyDescent="0.35">
      <c r="A56" s="27" t="s">
        <v>149</v>
      </c>
      <c r="B56" s="28" t="s">
        <v>150</v>
      </c>
      <c r="C56" s="29" t="s">
        <v>55</v>
      </c>
      <c r="D56" s="30">
        <f t="shared" si="4"/>
        <v>9.86</v>
      </c>
      <c r="E56" s="30">
        <f t="shared" si="5"/>
        <v>9.52</v>
      </c>
      <c r="F56" s="31">
        <f t="shared" si="8"/>
        <v>8.65</v>
      </c>
      <c r="G56" s="32">
        <f t="shared" si="9"/>
        <v>8.65</v>
      </c>
      <c r="H56" s="33" t="s">
        <v>139</v>
      </c>
      <c r="I56" s="34">
        <f t="shared" si="6"/>
        <v>3.4482758620689641E-2</v>
      </c>
      <c r="J56" s="35"/>
      <c r="K56" s="43">
        <v>8.5</v>
      </c>
      <c r="L56" s="35" t="s">
        <v>140</v>
      </c>
    </row>
    <row r="57" spans="1:12" s="1" customFormat="1" ht="16.2" thickBot="1" x14ac:dyDescent="0.35">
      <c r="A57" s="27" t="s">
        <v>151</v>
      </c>
      <c r="B57" s="28" t="s">
        <v>152</v>
      </c>
      <c r="C57" s="29" t="s">
        <v>55</v>
      </c>
      <c r="D57" s="30">
        <f t="shared" si="4"/>
        <v>7.92</v>
      </c>
      <c r="E57" s="30">
        <f t="shared" si="5"/>
        <v>7.6499999999999995</v>
      </c>
      <c r="F57" s="31">
        <f t="shared" si="8"/>
        <v>6.95</v>
      </c>
      <c r="G57" s="32">
        <f t="shared" si="9"/>
        <v>6.95</v>
      </c>
      <c r="H57" s="33" t="s">
        <v>139</v>
      </c>
      <c r="I57" s="34">
        <f t="shared" si="6"/>
        <v>3.4090909090909151E-2</v>
      </c>
      <c r="J57" s="35"/>
      <c r="K57" s="35">
        <v>6.8</v>
      </c>
      <c r="L57" s="35" t="s">
        <v>140</v>
      </c>
    </row>
    <row r="58" spans="1:12" s="1" customFormat="1" ht="16.2" thickBot="1" x14ac:dyDescent="0.35">
      <c r="A58" s="27" t="s">
        <v>153</v>
      </c>
      <c r="B58" s="28" t="s">
        <v>154</v>
      </c>
      <c r="C58" s="29" t="s">
        <v>55</v>
      </c>
      <c r="D58" s="30">
        <f t="shared" si="4"/>
        <v>7.92</v>
      </c>
      <c r="E58" s="30">
        <f t="shared" si="5"/>
        <v>7.6499999999999995</v>
      </c>
      <c r="F58" s="31">
        <f t="shared" si="8"/>
        <v>6.95</v>
      </c>
      <c r="G58" s="32">
        <f t="shared" si="9"/>
        <v>6.95</v>
      </c>
      <c r="H58" s="33" t="s">
        <v>139</v>
      </c>
      <c r="I58" s="34">
        <f t="shared" si="6"/>
        <v>3.4090909090909151E-2</v>
      </c>
      <c r="J58" s="35"/>
      <c r="K58" s="35">
        <v>6.8</v>
      </c>
      <c r="L58" s="35" t="s">
        <v>140</v>
      </c>
    </row>
    <row r="59" spans="1:12" s="1" customFormat="1" ht="16.2" thickBot="1" x14ac:dyDescent="0.35">
      <c r="A59" s="27" t="s">
        <v>155</v>
      </c>
      <c r="B59" s="28" t="s">
        <v>156</v>
      </c>
      <c r="C59" s="29" t="s">
        <v>55</v>
      </c>
      <c r="D59" s="30">
        <f t="shared" si="4"/>
        <v>24.1</v>
      </c>
      <c r="E59" s="30">
        <f t="shared" si="5"/>
        <v>23.270000000000003</v>
      </c>
      <c r="F59" s="31">
        <f t="shared" si="8"/>
        <v>21.15</v>
      </c>
      <c r="G59" s="32">
        <f t="shared" si="9"/>
        <v>21.15</v>
      </c>
      <c r="H59" s="33" t="s">
        <v>139</v>
      </c>
      <c r="I59" s="34">
        <f t="shared" si="6"/>
        <v>3.4439834024896192E-2</v>
      </c>
      <c r="J59" s="35"/>
      <c r="K59" s="35">
        <v>21</v>
      </c>
      <c r="L59" s="35" t="s">
        <v>140</v>
      </c>
    </row>
    <row r="60" spans="1:12" s="1" customFormat="1" ht="16.2" thickBot="1" x14ac:dyDescent="0.35">
      <c r="A60" s="27" t="s">
        <v>157</v>
      </c>
      <c r="B60" s="28" t="s">
        <v>158</v>
      </c>
      <c r="C60" s="29" t="s">
        <v>55</v>
      </c>
      <c r="D60" s="30">
        <f t="shared" si="4"/>
        <v>4.16</v>
      </c>
      <c r="E60" s="30">
        <f t="shared" si="5"/>
        <v>4.0199999999999996</v>
      </c>
      <c r="F60" s="31">
        <f t="shared" si="8"/>
        <v>3.65</v>
      </c>
      <c r="G60" s="32">
        <f t="shared" si="9"/>
        <v>3.65</v>
      </c>
      <c r="H60" s="33" t="s">
        <v>139</v>
      </c>
      <c r="I60" s="34">
        <f t="shared" si="6"/>
        <v>3.3653846153846291E-2</v>
      </c>
      <c r="J60" s="35"/>
      <c r="K60" s="35">
        <v>3.5</v>
      </c>
      <c r="L60" s="35" t="s">
        <v>140</v>
      </c>
    </row>
    <row r="61" spans="1:12" s="1" customFormat="1" ht="16.2" thickBot="1" x14ac:dyDescent="0.35">
      <c r="A61" s="27" t="s">
        <v>159</v>
      </c>
      <c r="B61" s="28" t="s">
        <v>160</v>
      </c>
      <c r="C61" s="29" t="s">
        <v>55</v>
      </c>
      <c r="D61" s="30">
        <f t="shared" si="4"/>
        <v>0.8</v>
      </c>
      <c r="E61" s="30">
        <f t="shared" si="5"/>
        <v>0.77</v>
      </c>
      <c r="F61" s="31">
        <f t="shared" si="8"/>
        <v>0.70000000000000007</v>
      </c>
      <c r="G61" s="32">
        <f t="shared" si="9"/>
        <v>0.70000000000000007</v>
      </c>
      <c r="H61" s="33" t="s">
        <v>139</v>
      </c>
      <c r="I61" s="34">
        <f t="shared" si="6"/>
        <v>3.7500000000000033E-2</v>
      </c>
      <c r="J61" s="35"/>
      <c r="K61" s="35">
        <v>0.55000000000000004</v>
      </c>
      <c r="L61" s="35" t="s">
        <v>140</v>
      </c>
    </row>
    <row r="62" spans="1:12" s="1" customFormat="1" ht="16.2" thickBot="1" x14ac:dyDescent="0.35">
      <c r="A62" s="27" t="s">
        <v>161</v>
      </c>
      <c r="B62" s="28" t="s">
        <v>162</v>
      </c>
      <c r="C62" s="29" t="s">
        <v>55</v>
      </c>
      <c r="D62" s="30">
        <f t="shared" si="4"/>
        <v>2.6799999999999997</v>
      </c>
      <c r="E62" s="30">
        <f t="shared" si="5"/>
        <v>2.59</v>
      </c>
      <c r="F62" s="31">
        <f t="shared" si="8"/>
        <v>2.35</v>
      </c>
      <c r="G62" s="32">
        <f t="shared" si="9"/>
        <v>2.35</v>
      </c>
      <c r="H62" s="33" t="s">
        <v>139</v>
      </c>
      <c r="I62" s="34">
        <f t="shared" si="6"/>
        <v>3.3582089552238757E-2</v>
      </c>
      <c r="J62" s="35"/>
      <c r="K62" s="35">
        <v>2.2000000000000002</v>
      </c>
      <c r="L62" s="35" t="s">
        <v>140</v>
      </c>
    </row>
    <row r="63" spans="1:12" s="1" customFormat="1" ht="16.2" thickBot="1" x14ac:dyDescent="0.35">
      <c r="A63" s="27" t="s">
        <v>163</v>
      </c>
      <c r="B63" s="28" t="s">
        <v>164</v>
      </c>
      <c r="C63" s="29" t="s">
        <v>55</v>
      </c>
      <c r="D63" s="30">
        <f t="shared" si="4"/>
        <v>1.77</v>
      </c>
      <c r="E63" s="30">
        <f t="shared" si="5"/>
        <v>1.71</v>
      </c>
      <c r="F63" s="31">
        <f t="shared" si="8"/>
        <v>1.5499999999999998</v>
      </c>
      <c r="G63" s="32">
        <f t="shared" si="9"/>
        <v>1.5499999999999998</v>
      </c>
      <c r="H63" s="33" t="s">
        <v>139</v>
      </c>
      <c r="I63" s="34">
        <f t="shared" si="6"/>
        <v>3.389830508474579E-2</v>
      </c>
      <c r="J63" s="35"/>
      <c r="K63" s="35">
        <v>1.4</v>
      </c>
      <c r="L63" s="35" t="s">
        <v>140</v>
      </c>
    </row>
    <row r="64" spans="1:12" s="1" customFormat="1" ht="16.2" thickBot="1" x14ac:dyDescent="0.35">
      <c r="A64" s="27" t="s">
        <v>165</v>
      </c>
      <c r="B64" s="28" t="s">
        <v>166</v>
      </c>
      <c r="C64" s="29" t="s">
        <v>55</v>
      </c>
      <c r="D64" s="30">
        <f t="shared" si="4"/>
        <v>10.43</v>
      </c>
      <c r="E64" s="30">
        <f t="shared" si="5"/>
        <v>10.07</v>
      </c>
      <c r="F64" s="31">
        <f t="shared" si="8"/>
        <v>9.15</v>
      </c>
      <c r="G64" s="32">
        <f t="shared" si="9"/>
        <v>9.15</v>
      </c>
      <c r="H64" s="33" t="s">
        <v>139</v>
      </c>
      <c r="I64" s="34">
        <f t="shared" si="6"/>
        <v>3.4515819750719025E-2</v>
      </c>
      <c r="J64" s="35"/>
      <c r="K64" s="35">
        <v>9</v>
      </c>
      <c r="L64" s="35" t="s">
        <v>140</v>
      </c>
    </row>
    <row r="65" spans="1:12" s="1" customFormat="1" ht="16.2" thickBot="1" x14ac:dyDescent="0.35">
      <c r="A65" s="27" t="s">
        <v>167</v>
      </c>
      <c r="B65" s="28" t="s">
        <v>168</v>
      </c>
      <c r="C65" s="29" t="s">
        <v>55</v>
      </c>
      <c r="D65" s="30">
        <f t="shared" si="4"/>
        <v>12.709999999999999</v>
      </c>
      <c r="E65" s="30">
        <f t="shared" si="5"/>
        <v>12.27</v>
      </c>
      <c r="F65" s="31">
        <f t="shared" si="8"/>
        <v>11.15</v>
      </c>
      <c r="G65" s="32">
        <f t="shared" si="9"/>
        <v>11.15</v>
      </c>
      <c r="H65" s="33" t="s">
        <v>139</v>
      </c>
      <c r="I65" s="34">
        <f t="shared" si="6"/>
        <v>3.4618410700235996E-2</v>
      </c>
      <c r="J65" s="35"/>
      <c r="K65" s="35">
        <v>11</v>
      </c>
      <c r="L65" s="35" t="s">
        <v>140</v>
      </c>
    </row>
    <row r="66" spans="1:12" s="1" customFormat="1" ht="16.2" thickBot="1" x14ac:dyDescent="0.35">
      <c r="A66" s="27" t="s">
        <v>169</v>
      </c>
      <c r="B66" s="28" t="s">
        <v>170</v>
      </c>
      <c r="C66" s="29" t="s">
        <v>55</v>
      </c>
      <c r="D66" s="30">
        <f t="shared" si="4"/>
        <v>3.3699999999999997</v>
      </c>
      <c r="E66" s="30">
        <f t="shared" si="5"/>
        <v>3.25</v>
      </c>
      <c r="F66" s="31">
        <f t="shared" si="8"/>
        <v>2.9499999999999997</v>
      </c>
      <c r="G66" s="32">
        <f t="shared" si="9"/>
        <v>2.9499999999999997</v>
      </c>
      <c r="H66" s="33" t="s">
        <v>139</v>
      </c>
      <c r="I66" s="34">
        <f t="shared" si="6"/>
        <v>3.560830860534115E-2</v>
      </c>
      <c r="J66" s="35"/>
      <c r="K66" s="35">
        <v>2.8</v>
      </c>
      <c r="L66" s="35" t="s">
        <v>140</v>
      </c>
    </row>
    <row r="67" spans="1:12" s="1" customFormat="1" ht="16.2" thickBot="1" x14ac:dyDescent="0.35">
      <c r="A67" s="27" t="s">
        <v>171</v>
      </c>
      <c r="B67" s="28" t="s">
        <v>172</v>
      </c>
      <c r="C67" s="29" t="s">
        <v>55</v>
      </c>
      <c r="D67" s="30">
        <f t="shared" si="4"/>
        <v>4.16</v>
      </c>
      <c r="E67" s="30">
        <f t="shared" si="5"/>
        <v>4.0199999999999996</v>
      </c>
      <c r="F67" s="31">
        <f t="shared" si="8"/>
        <v>3.65</v>
      </c>
      <c r="G67" s="32">
        <f t="shared" si="9"/>
        <v>3.65</v>
      </c>
      <c r="H67" s="33" t="s">
        <v>139</v>
      </c>
      <c r="I67" s="34">
        <f t="shared" si="6"/>
        <v>3.3653846153846291E-2</v>
      </c>
      <c r="J67" s="35"/>
      <c r="K67" s="35">
        <v>3.5</v>
      </c>
      <c r="L67" s="35" t="s">
        <v>140</v>
      </c>
    </row>
    <row r="68" spans="1:12" s="1" customFormat="1" ht="16.2" thickBot="1" x14ac:dyDescent="0.35">
      <c r="A68" s="27" t="s">
        <v>173</v>
      </c>
      <c r="B68" s="28" t="s">
        <v>174</v>
      </c>
      <c r="C68" s="29" t="s">
        <v>55</v>
      </c>
      <c r="D68" s="30">
        <f t="shared" si="4"/>
        <v>6.4399999999999995</v>
      </c>
      <c r="E68" s="30">
        <f t="shared" si="5"/>
        <v>6.22</v>
      </c>
      <c r="F68" s="31">
        <f t="shared" si="8"/>
        <v>5.65</v>
      </c>
      <c r="G68" s="32">
        <f t="shared" si="9"/>
        <v>5.65</v>
      </c>
      <c r="H68" s="33" t="s">
        <v>139</v>
      </c>
      <c r="I68" s="34">
        <f t="shared" si="6"/>
        <v>3.4161490683229781E-2</v>
      </c>
      <c r="J68" s="35"/>
      <c r="K68" s="35">
        <v>5.5</v>
      </c>
      <c r="L68" s="35" t="s">
        <v>140</v>
      </c>
    </row>
    <row r="69" spans="1:12" s="1" customFormat="1" ht="16.2" thickBot="1" x14ac:dyDescent="0.35">
      <c r="A69" s="27" t="s">
        <v>175</v>
      </c>
      <c r="B69" s="28" t="s">
        <v>176</v>
      </c>
      <c r="C69" s="29" t="s">
        <v>55</v>
      </c>
      <c r="D69" s="30">
        <f t="shared" si="4"/>
        <v>8.15</v>
      </c>
      <c r="E69" s="30">
        <f t="shared" si="5"/>
        <v>7.87</v>
      </c>
      <c r="F69" s="31">
        <f t="shared" si="8"/>
        <v>7.15</v>
      </c>
      <c r="G69" s="32">
        <f t="shared" si="9"/>
        <v>7.15</v>
      </c>
      <c r="H69" s="33" t="s">
        <v>139</v>
      </c>
      <c r="I69" s="34">
        <f t="shared" si="6"/>
        <v>3.4355828220858926E-2</v>
      </c>
      <c r="J69" s="35"/>
      <c r="K69" s="35">
        <v>7</v>
      </c>
      <c r="L69" s="35" t="s">
        <v>140</v>
      </c>
    </row>
    <row r="70" spans="1:12" s="1" customFormat="1" ht="16.2" thickBot="1" x14ac:dyDescent="0.35">
      <c r="A70" s="27" t="s">
        <v>177</v>
      </c>
      <c r="B70" s="28" t="s">
        <v>178</v>
      </c>
      <c r="C70" s="29" t="s">
        <v>55</v>
      </c>
      <c r="D70" s="30">
        <f t="shared" si="4"/>
        <v>10.199999999999999</v>
      </c>
      <c r="E70" s="30">
        <f t="shared" si="5"/>
        <v>9.85</v>
      </c>
      <c r="F70" s="31">
        <f t="shared" si="8"/>
        <v>8.9500000000000011</v>
      </c>
      <c r="G70" s="32">
        <f t="shared" si="9"/>
        <v>8.9500000000000011</v>
      </c>
      <c r="H70" s="33" t="s">
        <v>139</v>
      </c>
      <c r="I70" s="34">
        <f t="shared" si="6"/>
        <v>3.4313725490196047E-2</v>
      </c>
      <c r="J70" s="35"/>
      <c r="K70" s="35">
        <v>8.8000000000000007</v>
      </c>
      <c r="L70" s="35" t="s">
        <v>140</v>
      </c>
    </row>
    <row r="71" spans="1:12" s="1" customFormat="1" ht="16.2" thickBot="1" x14ac:dyDescent="0.35">
      <c r="A71" s="27" t="s">
        <v>179</v>
      </c>
      <c r="B71" s="28" t="s">
        <v>180</v>
      </c>
      <c r="C71" s="29" t="s">
        <v>55</v>
      </c>
      <c r="D71" s="30">
        <f t="shared" si="4"/>
        <v>22.96</v>
      </c>
      <c r="E71" s="30">
        <f t="shared" si="5"/>
        <v>22.17</v>
      </c>
      <c r="F71" s="31">
        <f t="shared" si="8"/>
        <v>20.149999999999999</v>
      </c>
      <c r="G71" s="32">
        <f t="shared" si="9"/>
        <v>20.149999999999999</v>
      </c>
      <c r="H71" s="33" t="s">
        <v>139</v>
      </c>
      <c r="I71" s="34">
        <f t="shared" si="6"/>
        <v>3.4407665505226441E-2</v>
      </c>
      <c r="J71" s="35"/>
      <c r="K71" s="35">
        <v>20</v>
      </c>
      <c r="L71" s="35" t="s">
        <v>140</v>
      </c>
    </row>
    <row r="72" spans="1:12" s="1" customFormat="1" ht="16.2" thickBot="1" x14ac:dyDescent="0.35">
      <c r="A72" s="27" t="s">
        <v>181</v>
      </c>
      <c r="B72" s="28" t="s">
        <v>182</v>
      </c>
      <c r="C72" s="29" t="s">
        <v>55</v>
      </c>
      <c r="D72" s="30">
        <f t="shared" si="4"/>
        <v>4.16</v>
      </c>
      <c r="E72" s="30">
        <f t="shared" si="5"/>
        <v>4.0199999999999996</v>
      </c>
      <c r="F72" s="31">
        <f t="shared" si="8"/>
        <v>3.65</v>
      </c>
      <c r="G72" s="32">
        <f t="shared" si="9"/>
        <v>3.65</v>
      </c>
      <c r="H72" s="33" t="s">
        <v>139</v>
      </c>
      <c r="I72" s="34">
        <f t="shared" si="6"/>
        <v>3.3653846153846291E-2</v>
      </c>
      <c r="J72" s="35"/>
      <c r="K72" s="35">
        <v>3.5</v>
      </c>
      <c r="L72" s="35" t="s">
        <v>140</v>
      </c>
    </row>
    <row r="73" spans="1:12" s="1" customFormat="1" ht="16.2" thickBot="1" x14ac:dyDescent="0.35">
      <c r="A73" s="27" t="s">
        <v>183</v>
      </c>
      <c r="B73" s="28" t="s">
        <v>184</v>
      </c>
      <c r="C73" s="29" t="s">
        <v>55</v>
      </c>
      <c r="D73" s="30">
        <f t="shared" si="4"/>
        <v>5.87</v>
      </c>
      <c r="E73" s="30">
        <f t="shared" si="5"/>
        <v>5.67</v>
      </c>
      <c r="F73" s="31">
        <f t="shared" si="8"/>
        <v>5.15</v>
      </c>
      <c r="G73" s="32">
        <f t="shared" si="9"/>
        <v>5.15</v>
      </c>
      <c r="H73" s="33" t="s">
        <v>139</v>
      </c>
      <c r="I73" s="34">
        <f t="shared" si="6"/>
        <v>3.4071550255536653E-2</v>
      </c>
      <c r="J73" s="35"/>
      <c r="K73" s="35">
        <v>5</v>
      </c>
      <c r="L73" s="35" t="s">
        <v>140</v>
      </c>
    </row>
    <row r="74" spans="1:12" s="1" customFormat="1" ht="16.2" thickBot="1" x14ac:dyDescent="0.35">
      <c r="A74" s="27" t="s">
        <v>185</v>
      </c>
      <c r="B74" s="28" t="s">
        <v>186</v>
      </c>
      <c r="C74" s="29" t="s">
        <v>55</v>
      </c>
      <c r="D74" s="30">
        <f t="shared" si="4"/>
        <v>5.3</v>
      </c>
      <c r="E74" s="30">
        <f t="shared" si="5"/>
        <v>5.12</v>
      </c>
      <c r="F74" s="31">
        <f t="shared" si="8"/>
        <v>4.6500000000000004</v>
      </c>
      <c r="G74" s="32">
        <f t="shared" si="9"/>
        <v>4.6500000000000004</v>
      </c>
      <c r="H74" s="33" t="s">
        <v>139</v>
      </c>
      <c r="I74" s="34">
        <f t="shared" si="6"/>
        <v>3.3962264150943347E-2</v>
      </c>
      <c r="J74" s="35"/>
      <c r="K74" s="35">
        <v>4.5</v>
      </c>
      <c r="L74" s="35" t="s">
        <v>140</v>
      </c>
    </row>
    <row r="75" spans="1:12" s="1" customFormat="1" ht="16.2" thickBot="1" x14ac:dyDescent="0.35">
      <c r="A75" s="27" t="s">
        <v>187</v>
      </c>
      <c r="B75" s="28" t="s">
        <v>188</v>
      </c>
      <c r="C75" s="29" t="s">
        <v>55</v>
      </c>
      <c r="D75" s="30">
        <f t="shared" si="4"/>
        <v>2.23</v>
      </c>
      <c r="E75" s="30">
        <f t="shared" si="5"/>
        <v>2.15</v>
      </c>
      <c r="F75" s="31">
        <f t="shared" si="8"/>
        <v>1.95</v>
      </c>
      <c r="G75" s="32">
        <f t="shared" si="9"/>
        <v>1.95</v>
      </c>
      <c r="H75" s="33" t="s">
        <v>139</v>
      </c>
      <c r="I75" s="34">
        <f t="shared" si="6"/>
        <v>3.5874439461883442E-2</v>
      </c>
      <c r="J75" s="35"/>
      <c r="K75" s="35">
        <v>1.8</v>
      </c>
      <c r="L75" s="35" t="s">
        <v>140</v>
      </c>
    </row>
    <row r="76" spans="1:12" s="1" customFormat="1" ht="16.2" thickBot="1" x14ac:dyDescent="0.35">
      <c r="A76" s="27" t="s">
        <v>189</v>
      </c>
      <c r="B76" s="28" t="s">
        <v>190</v>
      </c>
      <c r="C76" s="29" t="s">
        <v>55</v>
      </c>
      <c r="D76" s="30">
        <f t="shared" si="4"/>
        <v>20.680000000000003</v>
      </c>
      <c r="E76" s="30">
        <f t="shared" si="5"/>
        <v>19.970000000000002</v>
      </c>
      <c r="F76" s="31">
        <f t="shared" si="8"/>
        <v>18.149999999999999</v>
      </c>
      <c r="G76" s="32">
        <f t="shared" si="9"/>
        <v>18.149999999999999</v>
      </c>
      <c r="H76" s="33" t="s">
        <v>139</v>
      </c>
      <c r="I76" s="34">
        <f t="shared" si="6"/>
        <v>3.4332688588007775E-2</v>
      </c>
      <c r="J76" s="35"/>
      <c r="K76" s="35">
        <v>18</v>
      </c>
      <c r="L76" s="35" t="s">
        <v>140</v>
      </c>
    </row>
    <row r="77" spans="1:12" s="1" customFormat="1" ht="16.2" thickBot="1" x14ac:dyDescent="0.35">
      <c r="A77" s="27" t="s">
        <v>191</v>
      </c>
      <c r="B77" s="28" t="s">
        <v>192</v>
      </c>
      <c r="C77" s="29" t="s">
        <v>55</v>
      </c>
      <c r="D77" s="30">
        <f t="shared" si="4"/>
        <v>11</v>
      </c>
      <c r="E77" s="30">
        <f t="shared" si="5"/>
        <v>10.62</v>
      </c>
      <c r="F77" s="31">
        <f t="shared" si="8"/>
        <v>9.65</v>
      </c>
      <c r="G77" s="32">
        <f t="shared" si="9"/>
        <v>9.65</v>
      </c>
      <c r="H77" s="33" t="s">
        <v>139</v>
      </c>
      <c r="I77" s="34">
        <f t="shared" si="6"/>
        <v>3.4545454545454615E-2</v>
      </c>
      <c r="J77" s="35"/>
      <c r="K77" s="35">
        <v>9.5</v>
      </c>
      <c r="L77" s="35" t="s">
        <v>140</v>
      </c>
    </row>
    <row r="78" spans="1:12" s="1" customFormat="1" ht="16.2" thickBot="1" x14ac:dyDescent="0.35">
      <c r="A78" s="27" t="s">
        <v>193</v>
      </c>
      <c r="B78" s="28" t="s">
        <v>194</v>
      </c>
      <c r="C78" s="29" t="s">
        <v>55</v>
      </c>
      <c r="D78" s="30">
        <f t="shared" si="4"/>
        <v>2.4499999999999997</v>
      </c>
      <c r="E78" s="30">
        <f t="shared" si="5"/>
        <v>2.3699999999999997</v>
      </c>
      <c r="F78" s="31">
        <f t="shared" si="8"/>
        <v>2.15</v>
      </c>
      <c r="G78" s="32">
        <f t="shared" si="9"/>
        <v>2.15</v>
      </c>
      <c r="H78" s="33" t="s">
        <v>139</v>
      </c>
      <c r="I78" s="34">
        <f t="shared" si="6"/>
        <v>3.2653061224489827E-2</v>
      </c>
      <c r="J78" s="35"/>
      <c r="K78" s="35">
        <v>2</v>
      </c>
      <c r="L78" s="35" t="s">
        <v>140</v>
      </c>
    </row>
    <row r="79" spans="1:12" s="1" customFormat="1" ht="16.2" thickBot="1" x14ac:dyDescent="0.35">
      <c r="A79" s="27" t="s">
        <v>195</v>
      </c>
      <c r="B79" s="28" t="s">
        <v>196</v>
      </c>
      <c r="C79" s="29" t="s">
        <v>55</v>
      </c>
      <c r="D79" s="30">
        <f t="shared" si="4"/>
        <v>16.130000000000003</v>
      </c>
      <c r="E79" s="30">
        <f t="shared" si="5"/>
        <v>15.57</v>
      </c>
      <c r="F79" s="31">
        <f t="shared" si="8"/>
        <v>14.15</v>
      </c>
      <c r="G79" s="32">
        <f t="shared" si="9"/>
        <v>14.15</v>
      </c>
      <c r="H79" s="33" t="s">
        <v>139</v>
      </c>
      <c r="I79" s="34">
        <f t="shared" si="6"/>
        <v>3.4717916924984639E-2</v>
      </c>
      <c r="J79" s="35"/>
      <c r="K79" s="35">
        <v>14</v>
      </c>
      <c r="L79" s="35" t="s">
        <v>140</v>
      </c>
    </row>
    <row r="80" spans="1:12" s="1" customFormat="1" ht="16.2" thickBot="1" x14ac:dyDescent="0.35">
      <c r="A80" s="27" t="s">
        <v>197</v>
      </c>
      <c r="B80" s="28" t="s">
        <v>198</v>
      </c>
      <c r="C80" s="29" t="s">
        <v>55</v>
      </c>
      <c r="D80" s="30">
        <f t="shared" si="4"/>
        <v>7.01</v>
      </c>
      <c r="E80" s="30">
        <f t="shared" si="5"/>
        <v>6.77</v>
      </c>
      <c r="F80" s="31">
        <f t="shared" si="8"/>
        <v>6.15</v>
      </c>
      <c r="G80" s="32">
        <f t="shared" si="9"/>
        <v>6.15</v>
      </c>
      <c r="H80" s="33" t="s">
        <v>139</v>
      </c>
      <c r="I80" s="34">
        <f t="shared" si="6"/>
        <v>3.4236804564907304E-2</v>
      </c>
      <c r="J80" s="35"/>
      <c r="K80" s="35">
        <v>6</v>
      </c>
      <c r="L80" s="35" t="s">
        <v>140</v>
      </c>
    </row>
    <row r="81" spans="1:12" s="1" customFormat="1" ht="16.2" thickBot="1" x14ac:dyDescent="0.35">
      <c r="A81" s="27" t="s">
        <v>199</v>
      </c>
      <c r="B81" s="28" t="s">
        <v>200</v>
      </c>
      <c r="C81" s="29" t="s">
        <v>55</v>
      </c>
      <c r="D81" s="30">
        <f t="shared" si="4"/>
        <v>7.01</v>
      </c>
      <c r="E81" s="30">
        <f t="shared" si="5"/>
        <v>6.77</v>
      </c>
      <c r="F81" s="31">
        <f t="shared" si="8"/>
        <v>6.15</v>
      </c>
      <c r="G81" s="32">
        <f t="shared" si="9"/>
        <v>6.15</v>
      </c>
      <c r="H81" s="33" t="s">
        <v>139</v>
      </c>
      <c r="I81" s="34">
        <f t="shared" si="6"/>
        <v>3.4236804564907304E-2</v>
      </c>
      <c r="J81" s="35"/>
      <c r="K81" s="35">
        <v>6</v>
      </c>
      <c r="L81" s="35" t="s">
        <v>140</v>
      </c>
    </row>
    <row r="82" spans="1:12" s="1" customFormat="1" ht="16.2" thickBot="1" x14ac:dyDescent="0.35">
      <c r="A82" s="27" t="s">
        <v>201</v>
      </c>
      <c r="B82" s="28" t="s">
        <v>202</v>
      </c>
      <c r="C82" s="29" t="s">
        <v>55</v>
      </c>
      <c r="D82" s="30">
        <f t="shared" si="4"/>
        <v>2.4499999999999997</v>
      </c>
      <c r="E82" s="30">
        <f t="shared" si="5"/>
        <v>2.3699999999999997</v>
      </c>
      <c r="F82" s="31">
        <f t="shared" si="8"/>
        <v>2.15</v>
      </c>
      <c r="G82" s="32">
        <f t="shared" si="9"/>
        <v>2.15</v>
      </c>
      <c r="H82" s="33" t="s">
        <v>139</v>
      </c>
      <c r="I82" s="34">
        <f t="shared" si="6"/>
        <v>3.2653061224489827E-2</v>
      </c>
      <c r="J82" s="35"/>
      <c r="K82" s="35">
        <v>2</v>
      </c>
      <c r="L82" s="35" t="s">
        <v>140</v>
      </c>
    </row>
    <row r="83" spans="1:12" s="1" customFormat="1" ht="16.2" thickBot="1" x14ac:dyDescent="0.35">
      <c r="A83" s="27" t="s">
        <v>203</v>
      </c>
      <c r="B83" s="28" t="s">
        <v>204</v>
      </c>
      <c r="C83" s="29" t="s">
        <v>55</v>
      </c>
      <c r="D83" s="30">
        <f t="shared" si="4"/>
        <v>2.6799999999999997</v>
      </c>
      <c r="E83" s="30">
        <f t="shared" si="5"/>
        <v>2.59</v>
      </c>
      <c r="F83" s="31">
        <f t="shared" si="8"/>
        <v>2.35</v>
      </c>
      <c r="G83" s="32">
        <f t="shared" si="9"/>
        <v>2.35</v>
      </c>
      <c r="H83" s="33" t="s">
        <v>139</v>
      </c>
      <c r="I83" s="34">
        <f t="shared" si="6"/>
        <v>3.3582089552238757E-2</v>
      </c>
      <c r="J83" s="35"/>
      <c r="K83" s="35">
        <v>2.2000000000000002</v>
      </c>
      <c r="L83" s="35" t="s">
        <v>140</v>
      </c>
    </row>
    <row r="84" spans="1:12" s="1" customFormat="1" ht="16.2" thickBot="1" x14ac:dyDescent="0.35">
      <c r="A84" s="27" t="s">
        <v>205</v>
      </c>
      <c r="B84" s="28" t="s">
        <v>206</v>
      </c>
      <c r="C84" s="29" t="s">
        <v>55</v>
      </c>
      <c r="D84" s="30">
        <f t="shared" si="4"/>
        <v>3.82</v>
      </c>
      <c r="E84" s="30">
        <f t="shared" si="5"/>
        <v>3.69</v>
      </c>
      <c r="F84" s="31">
        <f t="shared" si="8"/>
        <v>3.35</v>
      </c>
      <c r="G84" s="32">
        <f t="shared" si="9"/>
        <v>3.35</v>
      </c>
      <c r="H84" s="33" t="s">
        <v>139</v>
      </c>
      <c r="I84" s="34">
        <f t="shared" si="6"/>
        <v>3.4031413612565418E-2</v>
      </c>
      <c r="J84" s="35"/>
      <c r="K84" s="35">
        <v>3.2</v>
      </c>
      <c r="L84" s="35" t="s">
        <v>140</v>
      </c>
    </row>
    <row r="85" spans="1:12" s="1" customFormat="1" ht="16.2" thickBot="1" x14ac:dyDescent="0.35">
      <c r="A85" s="27" t="s">
        <v>207</v>
      </c>
      <c r="B85" s="28" t="s">
        <v>208</v>
      </c>
      <c r="C85" s="29" t="s">
        <v>55</v>
      </c>
      <c r="D85" s="30">
        <f t="shared" si="4"/>
        <v>7.24</v>
      </c>
      <c r="E85" s="30">
        <f t="shared" si="5"/>
        <v>6.99</v>
      </c>
      <c r="F85" s="31">
        <f t="shared" si="8"/>
        <v>6.3500000000000005</v>
      </c>
      <c r="G85" s="32">
        <f t="shared" si="9"/>
        <v>6.3500000000000005</v>
      </c>
      <c r="H85" s="33" t="s">
        <v>139</v>
      </c>
      <c r="I85" s="34">
        <f t="shared" si="6"/>
        <v>3.4530386740331494E-2</v>
      </c>
      <c r="J85" s="35"/>
      <c r="K85" s="35">
        <v>6.2</v>
      </c>
      <c r="L85" s="35" t="s">
        <v>140</v>
      </c>
    </row>
    <row r="86" spans="1:12" s="1" customFormat="1" ht="16.2" thickBot="1" x14ac:dyDescent="0.35">
      <c r="A86" s="27" t="s">
        <v>209</v>
      </c>
      <c r="B86" s="28" t="s">
        <v>210</v>
      </c>
      <c r="C86" s="29" t="s">
        <v>55</v>
      </c>
      <c r="D86" s="30">
        <f t="shared" si="4"/>
        <v>8.15</v>
      </c>
      <c r="E86" s="30">
        <f t="shared" si="5"/>
        <v>7.87</v>
      </c>
      <c r="F86" s="31">
        <f t="shared" si="8"/>
        <v>7.15</v>
      </c>
      <c r="G86" s="32">
        <f t="shared" si="9"/>
        <v>7.15</v>
      </c>
      <c r="H86" s="33" t="s">
        <v>139</v>
      </c>
      <c r="I86" s="34">
        <f t="shared" si="6"/>
        <v>3.4355828220858926E-2</v>
      </c>
      <c r="J86" s="35"/>
      <c r="K86" s="35">
        <v>7</v>
      </c>
      <c r="L86" s="35" t="s">
        <v>140</v>
      </c>
    </row>
    <row r="87" spans="1:12" s="1" customFormat="1" ht="16.2" thickBot="1" x14ac:dyDescent="0.35">
      <c r="A87" s="27" t="s">
        <v>211</v>
      </c>
      <c r="B87" s="28" t="s">
        <v>212</v>
      </c>
      <c r="C87" s="29" t="s">
        <v>75</v>
      </c>
      <c r="D87" s="30">
        <f t="shared" si="4"/>
        <v>11.4</v>
      </c>
      <c r="E87" s="30">
        <f t="shared" si="5"/>
        <v>11</v>
      </c>
      <c r="F87" s="31">
        <v>10</v>
      </c>
      <c r="G87" s="32">
        <v>10</v>
      </c>
      <c r="H87" s="33" t="s">
        <v>213</v>
      </c>
      <c r="I87" s="34">
        <f t="shared" si="6"/>
        <v>3.5087719298245647E-2</v>
      </c>
      <c r="J87" s="35"/>
      <c r="K87" s="35">
        <v>8</v>
      </c>
      <c r="L87" s="35" t="s">
        <v>214</v>
      </c>
    </row>
    <row r="88" spans="1:12" s="1" customFormat="1" ht="16.2" thickBot="1" x14ac:dyDescent="0.35">
      <c r="A88" s="27" t="s">
        <v>215</v>
      </c>
      <c r="B88" s="26" t="s">
        <v>216</v>
      </c>
      <c r="C88" s="37" t="s">
        <v>55</v>
      </c>
      <c r="D88" s="38">
        <f t="shared" si="4"/>
        <v>68.36</v>
      </c>
      <c r="E88" s="38">
        <f t="shared" si="5"/>
        <v>66</v>
      </c>
      <c r="F88" s="39">
        <v>60</v>
      </c>
      <c r="G88" s="46">
        <v>60</v>
      </c>
      <c r="H88" s="60" t="s">
        <v>217</v>
      </c>
      <c r="I88" s="6">
        <f t="shared" si="6"/>
        <v>3.4523112931538903E-2</v>
      </c>
    </row>
    <row r="89" spans="1:12" s="1" customFormat="1" ht="16.2" thickBot="1" x14ac:dyDescent="0.35">
      <c r="A89" s="27" t="s">
        <v>218</v>
      </c>
      <c r="B89" s="26" t="s">
        <v>219</v>
      </c>
      <c r="C89" s="37" t="s">
        <v>55</v>
      </c>
      <c r="D89" s="38">
        <f t="shared" si="4"/>
        <v>22.790000000000003</v>
      </c>
      <c r="E89" s="38">
        <f t="shared" si="5"/>
        <v>21.12</v>
      </c>
      <c r="F89" s="39">
        <v>20</v>
      </c>
      <c r="G89" s="46">
        <f>+F89*0.96</f>
        <v>19.2</v>
      </c>
      <c r="H89" s="60" t="s">
        <v>220</v>
      </c>
      <c r="I89" s="6">
        <f t="shared" si="6"/>
        <v>7.3277753400614376E-2</v>
      </c>
    </row>
    <row r="90" spans="1:12" s="1" customFormat="1" ht="16.2" thickBot="1" x14ac:dyDescent="0.35">
      <c r="A90" s="27" t="s">
        <v>221</v>
      </c>
      <c r="B90" s="26"/>
      <c r="C90" s="37"/>
      <c r="D90" s="38"/>
      <c r="E90" s="38"/>
      <c r="F90" s="39"/>
      <c r="G90" s="46"/>
      <c r="H90" s="60"/>
      <c r="I90" s="6"/>
    </row>
    <row r="91" spans="1:12" s="1" customFormat="1" ht="16.2" thickBot="1" x14ac:dyDescent="0.35">
      <c r="A91" s="27" t="s">
        <v>222</v>
      </c>
      <c r="B91" s="26"/>
      <c r="C91" s="37"/>
      <c r="D91" s="38"/>
      <c r="E91" s="38"/>
      <c r="F91" s="39"/>
      <c r="G91" s="46"/>
      <c r="H91" s="60"/>
      <c r="I91" s="6"/>
    </row>
    <row r="92" spans="1:12" s="1" customFormat="1" ht="16.2" thickBot="1" x14ac:dyDescent="0.35">
      <c r="A92" s="27" t="s">
        <v>223</v>
      </c>
      <c r="B92" s="26"/>
      <c r="C92" s="37"/>
      <c r="D92" s="38"/>
      <c r="E92" s="38"/>
      <c r="F92" s="39"/>
      <c r="G92" s="46"/>
      <c r="H92" s="60"/>
      <c r="I92" s="6"/>
    </row>
    <row r="93" spans="1:12" s="1" customFormat="1" ht="16.2" thickBot="1" x14ac:dyDescent="0.35">
      <c r="A93" s="27" t="s">
        <v>224</v>
      </c>
      <c r="B93" s="26"/>
      <c r="C93" s="37"/>
      <c r="D93" s="38"/>
      <c r="E93" s="38"/>
      <c r="F93" s="39"/>
      <c r="G93" s="46"/>
      <c r="H93" s="60"/>
      <c r="I93" s="6"/>
    </row>
    <row r="94" spans="1:12" s="1" customFormat="1" ht="16.2" thickBot="1" x14ac:dyDescent="0.35">
      <c r="A94" s="27" t="s">
        <v>225</v>
      </c>
      <c r="B94" s="26"/>
      <c r="C94" s="37"/>
      <c r="D94" s="38"/>
      <c r="E94" s="38"/>
      <c r="F94" s="39"/>
      <c r="G94" s="46"/>
      <c r="H94" s="60"/>
      <c r="I94" s="6"/>
    </row>
    <row r="95" spans="1:12" s="1" customFormat="1" ht="16.2" thickBot="1" x14ac:dyDescent="0.35">
      <c r="A95" s="27" t="s">
        <v>226</v>
      </c>
      <c r="B95" s="26"/>
      <c r="C95" s="37"/>
      <c r="D95" s="38"/>
      <c r="E95" s="38"/>
      <c r="F95" s="39"/>
      <c r="G95" s="46"/>
      <c r="H95" s="60"/>
      <c r="I95" s="6"/>
    </row>
    <row r="96" spans="1:12" s="1" customFormat="1" ht="16.2" thickBot="1" x14ac:dyDescent="0.35">
      <c r="A96" s="27" t="s">
        <v>227</v>
      </c>
      <c r="B96" s="26"/>
      <c r="C96" s="37"/>
      <c r="D96" s="38"/>
      <c r="E96" s="38"/>
      <c r="F96" s="39"/>
      <c r="G96" s="46"/>
      <c r="H96" s="60"/>
      <c r="I96" s="6"/>
    </row>
    <row r="97" spans="1:10" s="1" customFormat="1" ht="16.2" thickBot="1" x14ac:dyDescent="0.35">
      <c r="A97" s="27" t="s">
        <v>228</v>
      </c>
      <c r="B97" s="26"/>
      <c r="C97" s="37"/>
      <c r="D97" s="38"/>
      <c r="E97" s="38"/>
      <c r="F97" s="39"/>
      <c r="G97" s="46"/>
      <c r="H97" s="60"/>
      <c r="I97" s="6"/>
    </row>
    <row r="98" spans="1:10" s="1" customFormat="1" ht="16.2" thickBot="1" x14ac:dyDescent="0.35">
      <c r="A98" s="27" t="s">
        <v>229</v>
      </c>
      <c r="B98" s="26"/>
      <c r="C98" s="37"/>
      <c r="D98" s="38"/>
      <c r="E98" s="38"/>
      <c r="F98" s="39"/>
      <c r="G98" s="46"/>
      <c r="H98" s="60"/>
      <c r="I98" s="6"/>
    </row>
    <row r="99" spans="1:10" s="1" customFormat="1" ht="16.2" thickBot="1" x14ac:dyDescent="0.35">
      <c r="A99" s="27"/>
      <c r="B99" s="26"/>
      <c r="C99" s="37"/>
      <c r="D99" s="38"/>
      <c r="E99" s="38"/>
      <c r="F99" s="39"/>
      <c r="G99" s="46"/>
      <c r="H99" s="40"/>
      <c r="I99" s="6"/>
    </row>
    <row r="100" spans="1:10" s="1" customFormat="1" ht="21.6" thickBot="1" x14ac:dyDescent="0.45">
      <c r="A100" s="25"/>
      <c r="B100" s="53" t="s">
        <v>230</v>
      </c>
      <c r="C100" s="37"/>
      <c r="D100" s="38"/>
      <c r="E100" s="38"/>
      <c r="F100" s="39"/>
      <c r="G100" s="46"/>
      <c r="H100" s="40"/>
      <c r="I100" s="6"/>
    </row>
    <row r="101" spans="1:10" s="1" customFormat="1" ht="16.2" thickBot="1" x14ac:dyDescent="0.35">
      <c r="A101" s="27" t="s">
        <v>231</v>
      </c>
      <c r="B101" s="36" t="s">
        <v>232</v>
      </c>
      <c r="C101" s="37" t="s">
        <v>233</v>
      </c>
      <c r="D101" s="38">
        <f>ROUNDUP(F101*0.87*1.1/0.84,2)</f>
        <v>8.82</v>
      </c>
      <c r="E101" s="38">
        <f>ROUNDUP(G101*1.1,2)</f>
        <v>8.18</v>
      </c>
      <c r="F101" s="39">
        <f>6.73*1.15</f>
        <v>7.7394999999999996</v>
      </c>
      <c r="G101" s="39">
        <f>0.96*F101</f>
        <v>7.4299199999999992</v>
      </c>
      <c r="H101" s="33" t="s">
        <v>35</v>
      </c>
      <c r="I101" s="6">
        <f t="shared" ref="I101:I114" si="10">(-E101+D101)/D101</f>
        <v>7.2562358276644048E-2</v>
      </c>
    </row>
    <row r="102" spans="1:10" s="1" customFormat="1" ht="16.2" thickBot="1" x14ac:dyDescent="0.35">
      <c r="A102" s="27" t="s">
        <v>234</v>
      </c>
      <c r="B102" s="36" t="s">
        <v>235</v>
      </c>
      <c r="C102" s="37" t="s">
        <v>233</v>
      </c>
      <c r="D102" s="38">
        <f>ROUNDUP(F102*0.87*1.1/0.84,2)</f>
        <v>8.82</v>
      </c>
      <c r="E102" s="38">
        <f>ROUNDUP(G102*1.1,2)</f>
        <v>8.18</v>
      </c>
      <c r="F102" s="39">
        <f>6.73*1.15</f>
        <v>7.7394999999999996</v>
      </c>
      <c r="G102" s="39">
        <f>0.96*F102</f>
        <v>7.4299199999999992</v>
      </c>
      <c r="H102" s="33" t="s">
        <v>35</v>
      </c>
      <c r="I102" s="6">
        <f t="shared" si="10"/>
        <v>7.2562358276644048E-2</v>
      </c>
    </row>
    <row r="103" spans="1:10" s="1" customFormat="1" ht="16.2" thickBot="1" x14ac:dyDescent="0.35">
      <c r="A103" s="27" t="s">
        <v>236</v>
      </c>
      <c r="B103" s="36" t="s">
        <v>237</v>
      </c>
      <c r="C103" s="37" t="s">
        <v>75</v>
      </c>
      <c r="D103" s="38">
        <f t="shared" ref="D103:D166" si="11">ROUNDUP(F103*0.87*1.1/0.84,2)</f>
        <v>10.07</v>
      </c>
      <c r="E103" s="38">
        <f t="shared" ref="E103:E166" si="12">ROUNDUP(G103*1.1,2)</f>
        <v>9.7200000000000006</v>
      </c>
      <c r="F103" s="46">
        <f>7.68*1.15</f>
        <v>8.831999999999999</v>
      </c>
      <c r="G103" s="46">
        <f>7.68*1.15</f>
        <v>8.831999999999999</v>
      </c>
      <c r="H103" s="61" t="s">
        <v>238</v>
      </c>
      <c r="I103" s="6">
        <f t="shared" si="10"/>
        <v>3.4756703078450808E-2</v>
      </c>
    </row>
    <row r="104" spans="1:10" s="1" customFormat="1" ht="16.2" thickBot="1" x14ac:dyDescent="0.35">
      <c r="A104" s="27" t="s">
        <v>239</v>
      </c>
      <c r="B104" s="36" t="s">
        <v>240</v>
      </c>
      <c r="C104" s="37" t="s">
        <v>75</v>
      </c>
      <c r="D104" s="38">
        <f t="shared" si="11"/>
        <v>12.43</v>
      </c>
      <c r="E104" s="38">
        <f t="shared" si="12"/>
        <v>12</v>
      </c>
      <c r="F104" s="46">
        <f>9.48*1.15</f>
        <v>10.901999999999999</v>
      </c>
      <c r="G104" s="46">
        <f>9.48*1.15</f>
        <v>10.901999999999999</v>
      </c>
      <c r="H104" s="61" t="s">
        <v>241</v>
      </c>
      <c r="I104" s="6">
        <f t="shared" si="10"/>
        <v>3.4593724859211562E-2</v>
      </c>
      <c r="J104" s="1">
        <f>74/(3.66*2.134)</f>
        <v>9.4744982356947887</v>
      </c>
    </row>
    <row r="105" spans="1:10" s="1" customFormat="1" ht="16.2" thickBot="1" x14ac:dyDescent="0.35">
      <c r="A105" s="27" t="s">
        <v>242</v>
      </c>
      <c r="B105" s="36" t="s">
        <v>243</v>
      </c>
      <c r="C105" s="37" t="s">
        <v>75</v>
      </c>
      <c r="D105" s="38">
        <f t="shared" si="11"/>
        <v>14.1</v>
      </c>
      <c r="E105" s="38">
        <f t="shared" si="12"/>
        <v>13.62</v>
      </c>
      <c r="F105" s="46">
        <f>10.76*1.15</f>
        <v>12.373999999999999</v>
      </c>
      <c r="G105" s="46">
        <f>10.76*1.15</f>
        <v>12.373999999999999</v>
      </c>
      <c r="H105" s="61" t="s">
        <v>244</v>
      </c>
      <c r="I105" s="6">
        <f t="shared" si="10"/>
        <v>3.404255319148939E-2</v>
      </c>
      <c r="J105" s="1">
        <f>84/(3.66*2.134)</f>
        <v>10.754835835113003</v>
      </c>
    </row>
    <row r="106" spans="1:10" s="1" customFormat="1" ht="16.2" thickBot="1" x14ac:dyDescent="0.35">
      <c r="A106" s="27" t="s">
        <v>245</v>
      </c>
      <c r="B106" s="36" t="s">
        <v>246</v>
      </c>
      <c r="C106" s="37" t="s">
        <v>75</v>
      </c>
      <c r="D106" s="38">
        <f t="shared" si="11"/>
        <v>18.740000000000002</v>
      </c>
      <c r="E106" s="38">
        <f t="shared" si="12"/>
        <v>18.09</v>
      </c>
      <c r="F106" s="46">
        <f>14.3*1.15</f>
        <v>16.445</v>
      </c>
      <c r="G106" s="46">
        <f>14.3*1.15</f>
        <v>16.445</v>
      </c>
      <c r="H106" s="61" t="s">
        <v>247</v>
      </c>
      <c r="I106" s="6">
        <f t="shared" si="10"/>
        <v>3.4685165421558271E-2</v>
      </c>
      <c r="J106" s="1">
        <f>110/(3.66*2.134)</f>
        <v>14.083713593600361</v>
      </c>
    </row>
    <row r="107" spans="1:10" s="1" customFormat="1" ht="16.2" thickBot="1" x14ac:dyDescent="0.35">
      <c r="A107" s="27" t="s">
        <v>248</v>
      </c>
      <c r="B107" s="36" t="s">
        <v>249</v>
      </c>
      <c r="C107" s="37" t="s">
        <v>75</v>
      </c>
      <c r="D107" s="38">
        <f t="shared" si="11"/>
        <v>13.22</v>
      </c>
      <c r="E107" s="38">
        <f t="shared" si="12"/>
        <v>12.77</v>
      </c>
      <c r="F107" s="46">
        <f>10.09*1.15</f>
        <v>11.603499999999999</v>
      </c>
      <c r="G107" s="46">
        <f>10.09*1.15</f>
        <v>11.603499999999999</v>
      </c>
      <c r="H107" s="62" t="s">
        <v>250</v>
      </c>
      <c r="I107" s="6">
        <f t="shared" si="10"/>
        <v>3.4039334341906279E-2</v>
      </c>
    </row>
    <row r="108" spans="1:10" s="1" customFormat="1" ht="16.2" thickBot="1" x14ac:dyDescent="0.35">
      <c r="A108" s="27" t="s">
        <v>251</v>
      </c>
      <c r="B108" s="36" t="s">
        <v>252</v>
      </c>
      <c r="C108" s="37" t="s">
        <v>75</v>
      </c>
      <c r="D108" s="38">
        <f t="shared" si="11"/>
        <v>14.52</v>
      </c>
      <c r="E108" s="38">
        <f t="shared" si="12"/>
        <v>14.02</v>
      </c>
      <c r="F108" s="46">
        <f>11.08*1.15</f>
        <v>12.741999999999999</v>
      </c>
      <c r="G108" s="46">
        <f>11.08*1.15</f>
        <v>12.741999999999999</v>
      </c>
      <c r="H108" s="61" t="s">
        <v>253</v>
      </c>
      <c r="I108" s="6">
        <f t="shared" si="10"/>
        <v>3.4435261707988982E-2</v>
      </c>
    </row>
    <row r="109" spans="1:10" s="1" customFormat="1" ht="16.2" thickBot="1" x14ac:dyDescent="0.35">
      <c r="A109" s="27" t="s">
        <v>254</v>
      </c>
      <c r="B109" s="36" t="s">
        <v>255</v>
      </c>
      <c r="C109" s="37" t="s">
        <v>75</v>
      </c>
      <c r="D109" s="38">
        <f t="shared" si="11"/>
        <v>18.78</v>
      </c>
      <c r="E109" s="38">
        <f t="shared" si="12"/>
        <v>18.130000000000003</v>
      </c>
      <c r="F109" s="46">
        <f>14.33*1.15</f>
        <v>16.479499999999998</v>
      </c>
      <c r="G109" s="46">
        <f>14.33*1.15</f>
        <v>16.479499999999998</v>
      </c>
      <c r="H109" s="62" t="s">
        <v>256</v>
      </c>
      <c r="I109" s="6">
        <f t="shared" si="10"/>
        <v>3.4611288604898753E-2</v>
      </c>
    </row>
    <row r="110" spans="1:10" s="1" customFormat="1" ht="16.2" thickBot="1" x14ac:dyDescent="0.35">
      <c r="A110" s="27" t="s">
        <v>257</v>
      </c>
      <c r="B110" s="36" t="s">
        <v>258</v>
      </c>
      <c r="C110" s="37" t="s">
        <v>75</v>
      </c>
      <c r="D110" s="38">
        <f t="shared" si="11"/>
        <v>21.82</v>
      </c>
      <c r="E110" s="38">
        <f t="shared" si="12"/>
        <v>21.07</v>
      </c>
      <c r="F110" s="46">
        <f>16.65*1.15</f>
        <v>19.147499999999997</v>
      </c>
      <c r="G110" s="46">
        <f>16.65*1.15</f>
        <v>19.147499999999997</v>
      </c>
      <c r="H110" s="61" t="s">
        <v>259</v>
      </c>
      <c r="I110" s="6">
        <f t="shared" si="10"/>
        <v>3.4372135655362054E-2</v>
      </c>
    </row>
    <row r="111" spans="1:10" s="1" customFormat="1" ht="16.2" thickBot="1" x14ac:dyDescent="0.35">
      <c r="A111" s="27" t="s">
        <v>260</v>
      </c>
      <c r="B111" s="36" t="s">
        <v>261</v>
      </c>
      <c r="C111" s="37" t="s">
        <v>75</v>
      </c>
      <c r="D111" s="38">
        <f t="shared" si="11"/>
        <v>7.21</v>
      </c>
      <c r="E111" s="38">
        <f t="shared" si="12"/>
        <v>6.68</v>
      </c>
      <c r="F111" s="46">
        <f>5.5*1.15</f>
        <v>6.3249999999999993</v>
      </c>
      <c r="G111" s="46">
        <f>+F111*0.96</f>
        <v>6.0719999999999992</v>
      </c>
      <c r="H111" s="40" t="s">
        <v>262</v>
      </c>
      <c r="I111" s="6">
        <f t="shared" si="10"/>
        <v>7.3509015256588109E-2</v>
      </c>
    </row>
    <row r="112" spans="1:10" s="1" customFormat="1" ht="16.2" thickBot="1" x14ac:dyDescent="0.35">
      <c r="A112" s="27" t="s">
        <v>263</v>
      </c>
      <c r="B112" s="36" t="s">
        <v>264</v>
      </c>
      <c r="C112" s="37" t="s">
        <v>75</v>
      </c>
      <c r="D112" s="38">
        <f t="shared" si="11"/>
        <v>9.39</v>
      </c>
      <c r="E112" s="38">
        <f t="shared" si="12"/>
        <v>8.6999999999999993</v>
      </c>
      <c r="F112" s="46">
        <f>7.16*1.15</f>
        <v>8.234</v>
      </c>
      <c r="G112" s="46">
        <f>+F112*0.96</f>
        <v>7.9046399999999997</v>
      </c>
      <c r="H112" s="40" t="s">
        <v>265</v>
      </c>
      <c r="I112" s="6">
        <f t="shared" si="10"/>
        <v>7.348242811501611E-2</v>
      </c>
    </row>
    <row r="113" spans="1:9" s="1" customFormat="1" ht="16.2" thickBot="1" x14ac:dyDescent="0.35">
      <c r="A113" s="27" t="s">
        <v>266</v>
      </c>
      <c r="B113" s="36" t="s">
        <v>267</v>
      </c>
      <c r="C113" s="37" t="s">
        <v>75</v>
      </c>
      <c r="D113" s="38">
        <f t="shared" si="11"/>
        <v>31.450000000000003</v>
      </c>
      <c r="E113" s="38">
        <f t="shared" si="12"/>
        <v>29.150000000000002</v>
      </c>
      <c r="F113" s="46">
        <f>24*1.15</f>
        <v>27.599999999999998</v>
      </c>
      <c r="G113" s="46">
        <f>+F113*0.96</f>
        <v>26.495999999999999</v>
      </c>
      <c r="H113" s="62" t="s">
        <v>268</v>
      </c>
      <c r="I113" s="6">
        <f t="shared" si="10"/>
        <v>7.3131955484896677E-2</v>
      </c>
    </row>
    <row r="114" spans="1:9" s="1" customFormat="1" ht="16.2" thickBot="1" x14ac:dyDescent="0.35">
      <c r="A114" s="27" t="s">
        <v>269</v>
      </c>
      <c r="B114" s="36" t="s">
        <v>270</v>
      </c>
      <c r="C114" s="37" t="s">
        <v>75</v>
      </c>
      <c r="D114" s="38">
        <f t="shared" si="11"/>
        <v>31.450000000000003</v>
      </c>
      <c r="E114" s="38">
        <f t="shared" si="12"/>
        <v>29.150000000000002</v>
      </c>
      <c r="F114" s="46">
        <f>24*1.15</f>
        <v>27.599999999999998</v>
      </c>
      <c r="G114" s="46">
        <f>+F114*0.96</f>
        <v>26.495999999999999</v>
      </c>
      <c r="H114" s="62" t="s">
        <v>268</v>
      </c>
      <c r="I114" s="6">
        <f t="shared" si="10"/>
        <v>7.3131955484896677E-2</v>
      </c>
    </row>
    <row r="115" spans="1:9" s="1" customFormat="1" ht="16.2" thickBot="1" x14ac:dyDescent="0.35">
      <c r="A115" s="27" t="s">
        <v>271</v>
      </c>
      <c r="B115" s="36" t="s">
        <v>272</v>
      </c>
      <c r="C115" s="37" t="s">
        <v>75</v>
      </c>
      <c r="D115" s="38">
        <f t="shared" si="11"/>
        <v>0</v>
      </c>
      <c r="E115" s="38">
        <f t="shared" si="12"/>
        <v>0</v>
      </c>
      <c r="F115" s="46"/>
      <c r="G115" s="46"/>
      <c r="H115" s="62"/>
      <c r="I115" s="6"/>
    </row>
    <row r="116" spans="1:9" s="1" customFormat="1" ht="16.2" thickBot="1" x14ac:dyDescent="0.35">
      <c r="A116" s="27" t="s">
        <v>273</v>
      </c>
      <c r="B116" s="36" t="s">
        <v>274</v>
      </c>
      <c r="C116" s="37" t="s">
        <v>75</v>
      </c>
      <c r="D116" s="38">
        <f t="shared" si="11"/>
        <v>0</v>
      </c>
      <c r="E116" s="38">
        <f t="shared" si="12"/>
        <v>0</v>
      </c>
      <c r="F116" s="46"/>
      <c r="G116" s="46"/>
      <c r="H116" s="40"/>
      <c r="I116" s="6"/>
    </row>
    <row r="117" spans="1:9" s="1" customFormat="1" ht="16.2" thickBot="1" x14ac:dyDescent="0.35">
      <c r="A117" s="27" t="s">
        <v>275</v>
      </c>
      <c r="B117" s="36" t="s">
        <v>276</v>
      </c>
      <c r="C117" s="37" t="s">
        <v>75</v>
      </c>
      <c r="D117" s="38">
        <f t="shared" si="11"/>
        <v>0</v>
      </c>
      <c r="E117" s="38">
        <f t="shared" si="12"/>
        <v>0</v>
      </c>
      <c r="F117" s="46"/>
      <c r="G117" s="46"/>
      <c r="H117" s="40"/>
      <c r="I117" s="6"/>
    </row>
    <row r="118" spans="1:9" s="1" customFormat="1" ht="16.2" thickBot="1" x14ac:dyDescent="0.35">
      <c r="A118" s="27" t="s">
        <v>277</v>
      </c>
      <c r="B118" s="36" t="s">
        <v>278</v>
      </c>
      <c r="C118" s="37" t="s">
        <v>75</v>
      </c>
      <c r="D118" s="38">
        <f t="shared" si="11"/>
        <v>48.48</v>
      </c>
      <c r="E118" s="38">
        <f t="shared" si="12"/>
        <v>44.94</v>
      </c>
      <c r="F118" s="46">
        <f>37*1.15</f>
        <v>42.55</v>
      </c>
      <c r="G118" s="46">
        <f>+F118*0.96</f>
        <v>40.847999999999999</v>
      </c>
      <c r="H118" s="62" t="s">
        <v>279</v>
      </c>
      <c r="I118" s="6">
        <f t="shared" ref="I118:I181" si="13">(-E118+D118)/D118</f>
        <v>7.3019801980198001E-2</v>
      </c>
    </row>
    <row r="119" spans="1:9" s="1" customFormat="1" ht="16.2" thickBot="1" x14ac:dyDescent="0.35">
      <c r="A119" s="27" t="s">
        <v>280</v>
      </c>
      <c r="B119" s="36" t="s">
        <v>281</v>
      </c>
      <c r="C119" s="37" t="s">
        <v>20</v>
      </c>
      <c r="D119" s="38">
        <f t="shared" si="11"/>
        <v>29.85</v>
      </c>
      <c r="E119" s="38">
        <f t="shared" si="12"/>
        <v>27.380000000000003</v>
      </c>
      <c r="F119" s="39">
        <v>26.2</v>
      </c>
      <c r="G119" s="46">
        <f>+F119*0.95</f>
        <v>24.889999999999997</v>
      </c>
      <c r="H119" s="40" t="s">
        <v>282</v>
      </c>
      <c r="I119" s="6">
        <f t="shared" si="13"/>
        <v>8.274706867671687E-2</v>
      </c>
    </row>
    <row r="120" spans="1:9" s="1" customFormat="1" ht="16.2" thickBot="1" x14ac:dyDescent="0.35">
      <c r="A120" s="27" t="s">
        <v>283</v>
      </c>
      <c r="B120" s="36" t="s">
        <v>284</v>
      </c>
      <c r="C120" s="37" t="s">
        <v>20</v>
      </c>
      <c r="D120" s="38">
        <f t="shared" si="11"/>
        <v>47.85</v>
      </c>
      <c r="E120" s="38">
        <f t="shared" si="12"/>
        <v>43.89</v>
      </c>
      <c r="F120" s="39">
        <v>42</v>
      </c>
      <c r="G120" s="46">
        <f>+F120*0.95</f>
        <v>39.9</v>
      </c>
      <c r="H120" s="40" t="s">
        <v>282</v>
      </c>
      <c r="I120" s="6">
        <f t="shared" si="13"/>
        <v>8.2758620689655185E-2</v>
      </c>
    </row>
    <row r="121" spans="1:9" s="1" customFormat="1" ht="16.2" thickBot="1" x14ac:dyDescent="0.35">
      <c r="A121" s="27" t="s">
        <v>285</v>
      </c>
      <c r="B121" s="36" t="s">
        <v>286</v>
      </c>
      <c r="C121" s="37" t="s">
        <v>20</v>
      </c>
      <c r="D121" s="38">
        <f t="shared" si="11"/>
        <v>74.06</v>
      </c>
      <c r="E121" s="38">
        <f t="shared" si="12"/>
        <v>67.930000000000007</v>
      </c>
      <c r="F121" s="39">
        <v>65</v>
      </c>
      <c r="G121" s="46">
        <f>+F121*0.95</f>
        <v>61.75</v>
      </c>
      <c r="H121" s="40" t="s">
        <v>282</v>
      </c>
      <c r="I121" s="6">
        <f t="shared" si="13"/>
        <v>8.2770726438023162E-2</v>
      </c>
    </row>
    <row r="122" spans="1:9" s="1" customFormat="1" ht="16.2" thickBot="1" x14ac:dyDescent="0.35">
      <c r="A122" s="27" t="s">
        <v>287</v>
      </c>
      <c r="B122" s="36" t="s">
        <v>51</v>
      </c>
      <c r="C122" s="37" t="s">
        <v>24</v>
      </c>
      <c r="D122" s="38">
        <f t="shared" si="11"/>
        <v>0.14000000000000001</v>
      </c>
      <c r="E122" s="38">
        <f t="shared" si="12"/>
        <v>0.14000000000000001</v>
      </c>
      <c r="F122" s="39">
        <v>0.12</v>
      </c>
      <c r="G122" s="46">
        <f t="shared" ref="G122:G152" si="14">+F122</f>
        <v>0.12</v>
      </c>
      <c r="H122" s="40" t="s">
        <v>52</v>
      </c>
      <c r="I122" s="6">
        <f t="shared" si="13"/>
        <v>0</v>
      </c>
    </row>
    <row r="123" spans="1:9" s="1" customFormat="1" ht="16.2" thickBot="1" x14ac:dyDescent="0.35">
      <c r="A123" s="27" t="s">
        <v>288</v>
      </c>
      <c r="B123" s="36" t="s">
        <v>289</v>
      </c>
      <c r="C123" s="37" t="s">
        <v>24</v>
      </c>
      <c r="D123" s="38">
        <f t="shared" si="11"/>
        <v>0.35000000000000003</v>
      </c>
      <c r="E123" s="38">
        <f t="shared" si="12"/>
        <v>0.33</v>
      </c>
      <c r="F123" s="39">
        <v>0.3</v>
      </c>
      <c r="G123" s="46">
        <f t="shared" si="14"/>
        <v>0.3</v>
      </c>
      <c r="H123" s="40" t="s">
        <v>52</v>
      </c>
      <c r="I123" s="6">
        <f t="shared" si="13"/>
        <v>5.714285714285719E-2</v>
      </c>
    </row>
    <row r="124" spans="1:9" s="1" customFormat="1" ht="16.2" thickBot="1" x14ac:dyDescent="0.35">
      <c r="A124" s="27" t="s">
        <v>290</v>
      </c>
      <c r="B124" s="36" t="s">
        <v>291</v>
      </c>
      <c r="C124" s="37" t="s">
        <v>55</v>
      </c>
      <c r="D124" s="38">
        <f t="shared" si="11"/>
        <v>1.37</v>
      </c>
      <c r="E124" s="38">
        <f t="shared" si="12"/>
        <v>1.32</v>
      </c>
      <c r="F124" s="46">
        <v>1.2</v>
      </c>
      <c r="G124" s="46">
        <f t="shared" si="14"/>
        <v>1.2</v>
      </c>
      <c r="H124" s="40" t="s">
        <v>52</v>
      </c>
      <c r="I124" s="6">
        <f t="shared" si="13"/>
        <v>3.6496350364963535E-2</v>
      </c>
    </row>
    <row r="125" spans="1:9" s="1" customFormat="1" ht="16.2" thickBot="1" x14ac:dyDescent="0.35">
      <c r="A125" s="27" t="s">
        <v>292</v>
      </c>
      <c r="B125" s="36" t="s">
        <v>293</v>
      </c>
      <c r="C125" s="37" t="s">
        <v>55</v>
      </c>
      <c r="D125" s="38">
        <f t="shared" si="11"/>
        <v>0.57000000000000006</v>
      </c>
      <c r="E125" s="38">
        <f t="shared" si="12"/>
        <v>0.55000000000000004</v>
      </c>
      <c r="F125" s="46">
        <v>0.5</v>
      </c>
      <c r="G125" s="46">
        <f t="shared" si="14"/>
        <v>0.5</v>
      </c>
      <c r="H125" s="40" t="s">
        <v>52</v>
      </c>
      <c r="I125" s="6">
        <f t="shared" si="13"/>
        <v>3.508771929824564E-2</v>
      </c>
    </row>
    <row r="126" spans="1:9" s="1" customFormat="1" ht="16.2" thickBot="1" x14ac:dyDescent="0.35">
      <c r="A126" s="27" t="s">
        <v>294</v>
      </c>
      <c r="B126" s="36" t="s">
        <v>295</v>
      </c>
      <c r="C126" s="37" t="s">
        <v>55</v>
      </c>
      <c r="D126" s="38">
        <f t="shared" si="11"/>
        <v>0.46</v>
      </c>
      <c r="E126" s="38">
        <f t="shared" si="12"/>
        <v>0.44</v>
      </c>
      <c r="F126" s="46">
        <v>0.4</v>
      </c>
      <c r="G126" s="46">
        <f t="shared" si="14"/>
        <v>0.4</v>
      </c>
      <c r="H126" s="40" t="s">
        <v>52</v>
      </c>
      <c r="I126" s="6">
        <f t="shared" si="13"/>
        <v>4.3478260869565251E-2</v>
      </c>
    </row>
    <row r="127" spans="1:9" s="1" customFormat="1" ht="16.2" thickBot="1" x14ac:dyDescent="0.35">
      <c r="A127" s="27" t="s">
        <v>296</v>
      </c>
      <c r="B127" s="36" t="s">
        <v>297</v>
      </c>
      <c r="C127" s="37" t="s">
        <v>55</v>
      </c>
      <c r="D127" s="38">
        <f t="shared" si="11"/>
        <v>0.46</v>
      </c>
      <c r="E127" s="38">
        <f t="shared" si="12"/>
        <v>0.44</v>
      </c>
      <c r="F127" s="46">
        <v>0.4</v>
      </c>
      <c r="G127" s="46">
        <f t="shared" si="14"/>
        <v>0.4</v>
      </c>
      <c r="H127" s="40" t="s">
        <v>52</v>
      </c>
      <c r="I127" s="6">
        <f t="shared" si="13"/>
        <v>4.3478260869565251E-2</v>
      </c>
    </row>
    <row r="128" spans="1:9" s="1" customFormat="1" ht="16.2" thickBot="1" x14ac:dyDescent="0.35">
      <c r="A128" s="27" t="s">
        <v>298</v>
      </c>
      <c r="B128" s="36" t="s">
        <v>299</v>
      </c>
      <c r="C128" s="37" t="s">
        <v>55</v>
      </c>
      <c r="D128" s="38">
        <f t="shared" si="11"/>
        <v>0.57000000000000006</v>
      </c>
      <c r="E128" s="38">
        <f t="shared" si="12"/>
        <v>0.55000000000000004</v>
      </c>
      <c r="F128" s="46">
        <v>0.5</v>
      </c>
      <c r="G128" s="46">
        <f t="shared" si="14"/>
        <v>0.5</v>
      </c>
      <c r="H128" s="40" t="s">
        <v>52</v>
      </c>
      <c r="I128" s="6">
        <f t="shared" si="13"/>
        <v>3.508771929824564E-2</v>
      </c>
    </row>
    <row r="129" spans="1:9" s="1" customFormat="1" ht="16.2" thickBot="1" x14ac:dyDescent="0.35">
      <c r="A129" s="27" t="s">
        <v>300</v>
      </c>
      <c r="B129" s="36" t="s">
        <v>301</v>
      </c>
      <c r="C129" s="37" t="s">
        <v>55</v>
      </c>
      <c r="D129" s="38">
        <f t="shared" si="11"/>
        <v>1.83</v>
      </c>
      <c r="E129" s="38">
        <f t="shared" si="12"/>
        <v>1.76</v>
      </c>
      <c r="F129" s="39">
        <v>1.6</v>
      </c>
      <c r="G129" s="46">
        <f t="shared" si="14"/>
        <v>1.6</v>
      </c>
      <c r="H129" s="40" t="s">
        <v>52</v>
      </c>
      <c r="I129" s="6">
        <f t="shared" si="13"/>
        <v>3.8251366120218615E-2</v>
      </c>
    </row>
    <row r="130" spans="1:9" s="1" customFormat="1" ht="16.2" thickBot="1" x14ac:dyDescent="0.35">
      <c r="A130" s="27" t="s">
        <v>302</v>
      </c>
      <c r="B130" s="36" t="s">
        <v>303</v>
      </c>
      <c r="C130" s="37" t="s">
        <v>55</v>
      </c>
      <c r="D130" s="38">
        <f t="shared" si="11"/>
        <v>3.42</v>
      </c>
      <c r="E130" s="38">
        <f t="shared" si="12"/>
        <v>3.3</v>
      </c>
      <c r="F130" s="39">
        <v>3</v>
      </c>
      <c r="G130" s="46">
        <f t="shared" si="14"/>
        <v>3</v>
      </c>
      <c r="H130" s="40" t="s">
        <v>52</v>
      </c>
      <c r="I130" s="6">
        <f t="shared" si="13"/>
        <v>3.5087719298245647E-2</v>
      </c>
    </row>
    <row r="131" spans="1:9" s="1" customFormat="1" ht="16.2" thickBot="1" x14ac:dyDescent="0.35">
      <c r="A131" s="27" t="s">
        <v>304</v>
      </c>
      <c r="B131" s="36" t="s">
        <v>305</v>
      </c>
      <c r="C131" s="37" t="s">
        <v>55</v>
      </c>
      <c r="D131" s="38">
        <f t="shared" si="11"/>
        <v>0.12</v>
      </c>
      <c r="E131" s="38">
        <f t="shared" si="12"/>
        <v>0.11</v>
      </c>
      <c r="F131" s="39">
        <v>0.1</v>
      </c>
      <c r="G131" s="46">
        <f t="shared" si="14"/>
        <v>0.1</v>
      </c>
      <c r="H131" s="40" t="s">
        <v>52</v>
      </c>
      <c r="I131" s="6">
        <f t="shared" si="13"/>
        <v>8.3333333333333301E-2</v>
      </c>
    </row>
    <row r="132" spans="1:9" s="1" customFormat="1" ht="16.2" thickBot="1" x14ac:dyDescent="0.35">
      <c r="A132" s="27" t="s">
        <v>306</v>
      </c>
      <c r="B132" s="36" t="s">
        <v>307</v>
      </c>
      <c r="C132" s="37" t="s">
        <v>55</v>
      </c>
      <c r="D132" s="38">
        <f t="shared" si="11"/>
        <v>0.12</v>
      </c>
      <c r="E132" s="38">
        <f t="shared" si="12"/>
        <v>0.11</v>
      </c>
      <c r="F132" s="39">
        <v>0.1</v>
      </c>
      <c r="G132" s="46">
        <f t="shared" si="14"/>
        <v>0.1</v>
      </c>
      <c r="H132" s="40" t="s">
        <v>52</v>
      </c>
      <c r="I132" s="6">
        <f t="shared" si="13"/>
        <v>8.3333333333333301E-2</v>
      </c>
    </row>
    <row r="133" spans="1:9" s="1" customFormat="1" ht="16.2" thickBot="1" x14ac:dyDescent="0.35">
      <c r="A133" s="27" t="s">
        <v>308</v>
      </c>
      <c r="B133" s="36" t="s">
        <v>309</v>
      </c>
      <c r="C133" s="37" t="s">
        <v>55</v>
      </c>
      <c r="D133" s="38">
        <f t="shared" si="11"/>
        <v>0.12</v>
      </c>
      <c r="E133" s="38">
        <f t="shared" si="12"/>
        <v>0.11</v>
      </c>
      <c r="F133" s="39">
        <v>0.1</v>
      </c>
      <c r="G133" s="46">
        <f t="shared" si="14"/>
        <v>0.1</v>
      </c>
      <c r="H133" s="40" t="s">
        <v>52</v>
      </c>
      <c r="I133" s="6">
        <f t="shared" si="13"/>
        <v>8.3333333333333301E-2</v>
      </c>
    </row>
    <row r="134" spans="1:9" s="1" customFormat="1" ht="16.2" thickBot="1" x14ac:dyDescent="0.35">
      <c r="A134" s="27" t="s">
        <v>310</v>
      </c>
      <c r="B134" s="36" t="s">
        <v>311</v>
      </c>
      <c r="C134" s="37" t="s">
        <v>55</v>
      </c>
      <c r="D134" s="38">
        <f t="shared" si="11"/>
        <v>0.12</v>
      </c>
      <c r="E134" s="38">
        <f t="shared" si="12"/>
        <v>0.11</v>
      </c>
      <c r="F134" s="39">
        <v>0.1</v>
      </c>
      <c r="G134" s="46">
        <f t="shared" si="14"/>
        <v>0.1</v>
      </c>
      <c r="H134" s="40" t="s">
        <v>52</v>
      </c>
      <c r="I134" s="6">
        <f t="shared" si="13"/>
        <v>8.3333333333333301E-2</v>
      </c>
    </row>
    <row r="135" spans="1:9" s="1" customFormat="1" ht="16.2" thickBot="1" x14ac:dyDescent="0.35">
      <c r="A135" s="27" t="s">
        <v>312</v>
      </c>
      <c r="B135" s="36" t="s">
        <v>313</v>
      </c>
      <c r="C135" s="37" t="s">
        <v>314</v>
      </c>
      <c r="D135" s="38">
        <f t="shared" si="11"/>
        <v>15.26</v>
      </c>
      <c r="E135" s="38">
        <f t="shared" si="12"/>
        <v>14.3</v>
      </c>
      <c r="F135" s="39">
        <f>+G135*1.03</f>
        <v>13.39</v>
      </c>
      <c r="G135" s="46">
        <v>13</v>
      </c>
      <c r="H135" s="40" t="s">
        <v>123</v>
      </c>
      <c r="I135" s="6">
        <f t="shared" si="13"/>
        <v>6.2909567496723398E-2</v>
      </c>
    </row>
    <row r="136" spans="1:9" s="1" customFormat="1" ht="16.2" thickBot="1" x14ac:dyDescent="0.35">
      <c r="A136" s="27" t="s">
        <v>315</v>
      </c>
      <c r="B136" s="36" t="s">
        <v>316</v>
      </c>
      <c r="C136" s="37" t="s">
        <v>314</v>
      </c>
      <c r="D136" s="38">
        <f t="shared" si="11"/>
        <v>19.950000000000003</v>
      </c>
      <c r="E136" s="38">
        <f t="shared" si="12"/>
        <v>18.7</v>
      </c>
      <c r="F136" s="39">
        <f t="shared" ref="F136:F142" si="15">+G136*1.03</f>
        <v>17.510000000000002</v>
      </c>
      <c r="G136" s="46">
        <v>17</v>
      </c>
      <c r="H136" s="40" t="s">
        <v>123</v>
      </c>
      <c r="I136" s="6">
        <f t="shared" si="13"/>
        <v>6.2656641604010188E-2</v>
      </c>
    </row>
    <row r="137" spans="1:9" s="1" customFormat="1" ht="16.2" thickBot="1" x14ac:dyDescent="0.35">
      <c r="A137" s="27" t="s">
        <v>317</v>
      </c>
      <c r="B137" s="36" t="s">
        <v>318</v>
      </c>
      <c r="C137" s="37" t="s">
        <v>314</v>
      </c>
      <c r="D137" s="38">
        <f t="shared" si="11"/>
        <v>22.3</v>
      </c>
      <c r="E137" s="38">
        <f t="shared" si="12"/>
        <v>20.9</v>
      </c>
      <c r="F137" s="39">
        <f t="shared" si="15"/>
        <v>19.57</v>
      </c>
      <c r="G137" s="46">
        <v>19</v>
      </c>
      <c r="H137" s="40" t="s">
        <v>123</v>
      </c>
      <c r="I137" s="6">
        <f t="shared" si="13"/>
        <v>6.2780269058296062E-2</v>
      </c>
    </row>
    <row r="138" spans="1:9" s="1" customFormat="1" ht="16.2" thickBot="1" x14ac:dyDescent="0.35">
      <c r="A138" s="27" t="s">
        <v>319</v>
      </c>
      <c r="B138" s="36" t="s">
        <v>320</v>
      </c>
      <c r="C138" s="37" t="s">
        <v>314</v>
      </c>
      <c r="D138" s="38">
        <f t="shared" si="11"/>
        <v>28.17</v>
      </c>
      <c r="E138" s="38">
        <f t="shared" si="12"/>
        <v>26.4</v>
      </c>
      <c r="F138" s="39">
        <f t="shared" si="15"/>
        <v>24.72</v>
      </c>
      <c r="G138" s="46">
        <v>24</v>
      </c>
      <c r="H138" s="40" t="s">
        <v>123</v>
      </c>
      <c r="I138" s="6">
        <f t="shared" si="13"/>
        <v>6.2832800851970294E-2</v>
      </c>
    </row>
    <row r="139" spans="1:9" s="1" customFormat="1" ht="16.2" thickBot="1" x14ac:dyDescent="0.35">
      <c r="A139" s="27" t="s">
        <v>321</v>
      </c>
      <c r="B139" s="36" t="s">
        <v>322</v>
      </c>
      <c r="C139" s="37" t="s">
        <v>314</v>
      </c>
      <c r="D139" s="38">
        <f t="shared" si="11"/>
        <v>30.520000000000003</v>
      </c>
      <c r="E139" s="38">
        <f t="shared" si="12"/>
        <v>28.6</v>
      </c>
      <c r="F139" s="39">
        <f t="shared" si="15"/>
        <v>26.78</v>
      </c>
      <c r="G139" s="46">
        <v>26</v>
      </c>
      <c r="H139" s="40" t="s">
        <v>123</v>
      </c>
      <c r="I139" s="6">
        <f t="shared" si="13"/>
        <v>6.2909567496723509E-2</v>
      </c>
    </row>
    <row r="140" spans="1:9" s="1" customFormat="1" ht="16.2" thickBot="1" x14ac:dyDescent="0.35">
      <c r="A140" s="27" t="s">
        <v>323</v>
      </c>
      <c r="B140" s="36" t="s">
        <v>324</v>
      </c>
      <c r="C140" s="37" t="s">
        <v>314</v>
      </c>
      <c r="D140" s="38">
        <f t="shared" si="11"/>
        <v>38.729999999999997</v>
      </c>
      <c r="E140" s="38">
        <f t="shared" si="12"/>
        <v>36.299999999999997</v>
      </c>
      <c r="F140" s="39">
        <f t="shared" si="15"/>
        <v>33.99</v>
      </c>
      <c r="G140" s="46">
        <v>33</v>
      </c>
      <c r="H140" s="40" t="s">
        <v>123</v>
      </c>
      <c r="I140" s="6">
        <f t="shared" si="13"/>
        <v>6.2742060418280399E-2</v>
      </c>
    </row>
    <row r="141" spans="1:9" s="1" customFormat="1" ht="16.2" thickBot="1" x14ac:dyDescent="0.35">
      <c r="A141" s="27" t="s">
        <v>325</v>
      </c>
      <c r="B141" s="36" t="s">
        <v>326</v>
      </c>
      <c r="C141" s="37" t="s">
        <v>314</v>
      </c>
      <c r="D141" s="38">
        <f t="shared" si="11"/>
        <v>43.419999999999995</v>
      </c>
      <c r="E141" s="38">
        <f t="shared" si="12"/>
        <v>40.700000000000003</v>
      </c>
      <c r="F141" s="39">
        <f t="shared" si="15"/>
        <v>38.11</v>
      </c>
      <c r="G141" s="46">
        <v>37</v>
      </c>
      <c r="H141" s="40" t="s">
        <v>123</v>
      </c>
      <c r="I141" s="6">
        <f t="shared" si="13"/>
        <v>6.2643942883463657E-2</v>
      </c>
    </row>
    <row r="142" spans="1:9" s="1" customFormat="1" ht="16.2" thickBot="1" x14ac:dyDescent="0.35">
      <c r="A142" s="27" t="s">
        <v>327</v>
      </c>
      <c r="B142" s="36" t="s">
        <v>328</v>
      </c>
      <c r="C142" s="37" t="s">
        <v>314</v>
      </c>
      <c r="D142" s="38">
        <f t="shared" si="11"/>
        <v>52.809999999999995</v>
      </c>
      <c r="E142" s="38">
        <f t="shared" si="12"/>
        <v>49.5</v>
      </c>
      <c r="F142" s="39">
        <f t="shared" si="15"/>
        <v>46.35</v>
      </c>
      <c r="G142" s="46">
        <v>45</v>
      </c>
      <c r="H142" s="40" t="s">
        <v>123</v>
      </c>
      <c r="I142" s="6">
        <f t="shared" si="13"/>
        <v>6.2677523196364243E-2</v>
      </c>
    </row>
    <row r="143" spans="1:9" s="1" customFormat="1" ht="16.2" thickBot="1" x14ac:dyDescent="0.35">
      <c r="A143" s="27" t="s">
        <v>329</v>
      </c>
      <c r="B143" s="36" t="s">
        <v>330</v>
      </c>
      <c r="C143" s="37" t="s">
        <v>55</v>
      </c>
      <c r="D143" s="38">
        <f t="shared" si="11"/>
        <v>2.0599999999999996</v>
      </c>
      <c r="E143" s="38">
        <f t="shared" si="12"/>
        <v>1.98</v>
      </c>
      <c r="F143" s="39">
        <v>1.8</v>
      </c>
      <c r="G143" s="46">
        <f t="shared" si="14"/>
        <v>1.8</v>
      </c>
      <c r="H143" s="40" t="s">
        <v>52</v>
      </c>
      <c r="I143" s="6">
        <f t="shared" si="13"/>
        <v>3.8834951456310503E-2</v>
      </c>
    </row>
    <row r="144" spans="1:9" s="1" customFormat="1" ht="16.2" thickBot="1" x14ac:dyDescent="0.35">
      <c r="A144" s="27" t="s">
        <v>331</v>
      </c>
      <c r="B144" s="36" t="s">
        <v>332</v>
      </c>
      <c r="C144" s="37" t="s">
        <v>55</v>
      </c>
      <c r="D144" s="38">
        <f t="shared" si="11"/>
        <v>1.71</v>
      </c>
      <c r="E144" s="38">
        <f t="shared" si="12"/>
        <v>1.65</v>
      </c>
      <c r="F144" s="39">
        <v>1.5</v>
      </c>
      <c r="G144" s="46">
        <f t="shared" si="14"/>
        <v>1.5</v>
      </c>
      <c r="H144" s="40" t="s">
        <v>52</v>
      </c>
      <c r="I144" s="6">
        <f t="shared" si="13"/>
        <v>3.5087719298245647E-2</v>
      </c>
    </row>
    <row r="145" spans="1:9" s="1" customFormat="1" ht="16.2" thickBot="1" x14ac:dyDescent="0.35">
      <c r="A145" s="27" t="s">
        <v>333</v>
      </c>
      <c r="B145" s="36" t="s">
        <v>334</v>
      </c>
      <c r="C145" s="37" t="s">
        <v>55</v>
      </c>
      <c r="D145" s="38">
        <f t="shared" si="11"/>
        <v>2.8499999999999996</v>
      </c>
      <c r="E145" s="38">
        <f t="shared" si="12"/>
        <v>2.75</v>
      </c>
      <c r="F145" s="39">
        <v>2.5</v>
      </c>
      <c r="G145" s="46">
        <f t="shared" si="14"/>
        <v>2.5</v>
      </c>
      <c r="H145" s="40" t="s">
        <v>52</v>
      </c>
      <c r="I145" s="6">
        <f t="shared" si="13"/>
        <v>3.5087719298245494E-2</v>
      </c>
    </row>
    <row r="146" spans="1:9" s="1" customFormat="1" ht="16.2" thickBot="1" x14ac:dyDescent="0.35">
      <c r="A146" s="27" t="s">
        <v>335</v>
      </c>
      <c r="B146" s="36" t="s">
        <v>336</v>
      </c>
      <c r="C146" s="37" t="s">
        <v>314</v>
      </c>
      <c r="D146" s="38">
        <f t="shared" si="11"/>
        <v>11.17</v>
      </c>
      <c r="E146" s="38">
        <f t="shared" si="12"/>
        <v>10.78</v>
      </c>
      <c r="F146" s="39">
        <v>9.8000000000000007</v>
      </c>
      <c r="G146" s="46">
        <f t="shared" si="14"/>
        <v>9.8000000000000007</v>
      </c>
      <c r="H146" s="40" t="s">
        <v>52</v>
      </c>
      <c r="I146" s="6">
        <f t="shared" si="13"/>
        <v>3.4914950760966929E-2</v>
      </c>
    </row>
    <row r="147" spans="1:9" s="1" customFormat="1" ht="16.2" thickBot="1" x14ac:dyDescent="0.35">
      <c r="A147" s="27" t="s">
        <v>337</v>
      </c>
      <c r="B147" s="36" t="s">
        <v>338</v>
      </c>
      <c r="C147" s="37" t="s">
        <v>314</v>
      </c>
      <c r="D147" s="38">
        <f t="shared" si="11"/>
        <v>17.150000000000002</v>
      </c>
      <c r="E147" s="38">
        <f t="shared" si="12"/>
        <v>16.560000000000002</v>
      </c>
      <c r="F147" s="39">
        <v>15.05</v>
      </c>
      <c r="G147" s="46">
        <f t="shared" si="14"/>
        <v>15.05</v>
      </c>
      <c r="H147" s="40" t="s">
        <v>52</v>
      </c>
      <c r="I147" s="6">
        <f t="shared" si="13"/>
        <v>3.4402332361516019E-2</v>
      </c>
    </row>
    <row r="148" spans="1:9" s="1" customFormat="1" ht="16.2" thickBot="1" x14ac:dyDescent="0.35">
      <c r="A148" s="27" t="s">
        <v>339</v>
      </c>
      <c r="B148" s="36" t="s">
        <v>340</v>
      </c>
      <c r="C148" s="37" t="s">
        <v>314</v>
      </c>
      <c r="D148" s="38">
        <f t="shared" si="11"/>
        <v>21.080000000000002</v>
      </c>
      <c r="E148" s="38">
        <f t="shared" si="12"/>
        <v>20.350000000000001</v>
      </c>
      <c r="F148" s="39">
        <v>18.5</v>
      </c>
      <c r="G148" s="46">
        <f t="shared" si="14"/>
        <v>18.5</v>
      </c>
      <c r="H148" s="40" t="s">
        <v>52</v>
      </c>
      <c r="I148" s="6">
        <f t="shared" si="13"/>
        <v>3.4629981024667945E-2</v>
      </c>
    </row>
    <row r="149" spans="1:9" s="1" customFormat="1" ht="16.2" thickBot="1" x14ac:dyDescent="0.35">
      <c r="A149" s="27" t="s">
        <v>341</v>
      </c>
      <c r="B149" s="36" t="s">
        <v>342</v>
      </c>
      <c r="C149" s="37" t="s">
        <v>314</v>
      </c>
      <c r="D149" s="38">
        <f t="shared" si="11"/>
        <v>25.23</v>
      </c>
      <c r="E149" s="38">
        <f t="shared" si="12"/>
        <v>24.360000000000003</v>
      </c>
      <c r="F149" s="39">
        <v>22.14</v>
      </c>
      <c r="G149" s="46">
        <f t="shared" si="14"/>
        <v>22.14</v>
      </c>
      <c r="H149" s="40" t="s">
        <v>52</v>
      </c>
      <c r="I149" s="6">
        <f t="shared" si="13"/>
        <v>3.4482758620689551E-2</v>
      </c>
    </row>
    <row r="150" spans="1:9" s="1" customFormat="1" ht="16.2" thickBot="1" x14ac:dyDescent="0.35">
      <c r="A150" s="27" t="s">
        <v>343</v>
      </c>
      <c r="B150" s="36" t="s">
        <v>344</v>
      </c>
      <c r="C150" s="37" t="s">
        <v>314</v>
      </c>
      <c r="D150" s="38">
        <f t="shared" si="11"/>
        <v>31.240000000000002</v>
      </c>
      <c r="E150" s="38">
        <f t="shared" si="12"/>
        <v>30.17</v>
      </c>
      <c r="F150" s="39">
        <v>27.42</v>
      </c>
      <c r="G150" s="46">
        <f t="shared" si="14"/>
        <v>27.42</v>
      </c>
      <c r="H150" s="40" t="s">
        <v>52</v>
      </c>
      <c r="I150" s="6">
        <f t="shared" si="13"/>
        <v>3.4250960307298343E-2</v>
      </c>
    </row>
    <row r="151" spans="1:9" s="1" customFormat="1" ht="16.2" thickBot="1" x14ac:dyDescent="0.35">
      <c r="A151" s="27" t="s">
        <v>345</v>
      </c>
      <c r="B151" s="36" t="s">
        <v>346</v>
      </c>
      <c r="C151" s="37" t="s">
        <v>314</v>
      </c>
      <c r="D151" s="38">
        <f t="shared" si="11"/>
        <v>45.1</v>
      </c>
      <c r="E151" s="38">
        <f t="shared" si="12"/>
        <v>43.54</v>
      </c>
      <c r="F151" s="39">
        <v>39.58</v>
      </c>
      <c r="G151" s="46">
        <f t="shared" si="14"/>
        <v>39.58</v>
      </c>
      <c r="H151" s="40" t="s">
        <v>52</v>
      </c>
      <c r="I151" s="6">
        <f t="shared" si="13"/>
        <v>3.458980044345903E-2</v>
      </c>
    </row>
    <row r="152" spans="1:9" s="1" customFormat="1" ht="16.2" thickBot="1" x14ac:dyDescent="0.35">
      <c r="A152" s="27" t="s">
        <v>347</v>
      </c>
      <c r="B152" s="36" t="s">
        <v>348</v>
      </c>
      <c r="C152" s="37" t="s">
        <v>55</v>
      </c>
      <c r="D152" s="38">
        <f t="shared" si="11"/>
        <v>3.4699999999999998</v>
      </c>
      <c r="E152" s="38">
        <f t="shared" si="12"/>
        <v>3.3499999999999996</v>
      </c>
      <c r="F152" s="39">
        <v>3.04</v>
      </c>
      <c r="G152" s="46">
        <f t="shared" si="14"/>
        <v>3.04</v>
      </c>
      <c r="H152" s="40" t="s">
        <v>52</v>
      </c>
      <c r="I152" s="6">
        <f t="shared" si="13"/>
        <v>3.4582132564841529E-2</v>
      </c>
    </row>
    <row r="153" spans="1:9" s="1" customFormat="1" ht="16.2" thickBot="1" x14ac:dyDescent="0.35">
      <c r="A153" s="27" t="s">
        <v>349</v>
      </c>
      <c r="B153" s="36" t="s">
        <v>350</v>
      </c>
      <c r="C153" s="37" t="s">
        <v>55</v>
      </c>
      <c r="D153" s="38">
        <f t="shared" si="11"/>
        <v>24.16</v>
      </c>
      <c r="E153" s="38">
        <f t="shared" si="12"/>
        <v>22</v>
      </c>
      <c r="F153" s="39">
        <f t="shared" ref="F153:F159" si="16">+G153*1.06</f>
        <v>21.200000000000003</v>
      </c>
      <c r="G153" s="39">
        <v>20</v>
      </c>
      <c r="H153" s="40" t="s">
        <v>123</v>
      </c>
      <c r="I153" s="6">
        <f t="shared" si="13"/>
        <v>8.9403973509933773E-2</v>
      </c>
    </row>
    <row r="154" spans="1:9" s="1" customFormat="1" ht="16.2" thickBot="1" x14ac:dyDescent="0.35">
      <c r="A154" s="27" t="s">
        <v>351</v>
      </c>
      <c r="B154" s="36" t="s">
        <v>352</v>
      </c>
      <c r="C154" s="37" t="s">
        <v>75</v>
      </c>
      <c r="D154" s="38">
        <f t="shared" si="11"/>
        <v>14.5</v>
      </c>
      <c r="E154" s="38">
        <f t="shared" si="12"/>
        <v>13.2</v>
      </c>
      <c r="F154" s="39">
        <f t="shared" si="16"/>
        <v>12.72</v>
      </c>
      <c r="G154" s="46">
        <v>12</v>
      </c>
      <c r="H154" s="40" t="s">
        <v>353</v>
      </c>
      <c r="I154" s="6">
        <f t="shared" si="13"/>
        <v>8.9655172413793158E-2</v>
      </c>
    </row>
    <row r="155" spans="1:9" s="1" customFormat="1" ht="16.2" thickBot="1" x14ac:dyDescent="0.35">
      <c r="A155" s="27" t="s">
        <v>354</v>
      </c>
      <c r="B155" s="36" t="s">
        <v>355</v>
      </c>
      <c r="C155" s="37" t="s">
        <v>75</v>
      </c>
      <c r="D155" s="38">
        <f t="shared" si="11"/>
        <v>13.68</v>
      </c>
      <c r="E155" s="38">
        <f t="shared" si="12"/>
        <v>16.5</v>
      </c>
      <c r="F155" s="46">
        <v>12</v>
      </c>
      <c r="G155" s="46">
        <v>15</v>
      </c>
      <c r="H155" s="40" t="s">
        <v>356</v>
      </c>
      <c r="I155" s="6">
        <f t="shared" si="13"/>
        <v>-0.20614035087719301</v>
      </c>
    </row>
    <row r="156" spans="1:9" s="1" customFormat="1" ht="16.2" thickBot="1" x14ac:dyDescent="0.35">
      <c r="A156" s="27" t="s">
        <v>357</v>
      </c>
      <c r="B156" s="36" t="s">
        <v>358</v>
      </c>
      <c r="C156" s="37" t="s">
        <v>75</v>
      </c>
      <c r="D156" s="38">
        <f t="shared" si="11"/>
        <v>14.5</v>
      </c>
      <c r="E156" s="38">
        <f t="shared" si="12"/>
        <v>13.2</v>
      </c>
      <c r="F156" s="39">
        <f t="shared" si="16"/>
        <v>12.72</v>
      </c>
      <c r="G156" s="46">
        <v>12</v>
      </c>
      <c r="H156" s="40" t="s">
        <v>359</v>
      </c>
      <c r="I156" s="6">
        <f t="shared" si="13"/>
        <v>8.9655172413793158E-2</v>
      </c>
    </row>
    <row r="157" spans="1:9" s="1" customFormat="1" ht="16.2" thickBot="1" x14ac:dyDescent="0.35">
      <c r="A157" s="27" t="s">
        <v>360</v>
      </c>
      <c r="B157" s="36" t="s">
        <v>361</v>
      </c>
      <c r="C157" s="37" t="s">
        <v>75</v>
      </c>
      <c r="D157" s="38">
        <f t="shared" si="11"/>
        <v>14.5</v>
      </c>
      <c r="E157" s="38">
        <f t="shared" si="12"/>
        <v>13.2</v>
      </c>
      <c r="F157" s="39">
        <f t="shared" si="16"/>
        <v>12.72</v>
      </c>
      <c r="G157" s="46">
        <v>12</v>
      </c>
      <c r="H157" s="40" t="s">
        <v>353</v>
      </c>
      <c r="I157" s="6">
        <f t="shared" si="13"/>
        <v>8.9655172413793158E-2</v>
      </c>
    </row>
    <row r="158" spans="1:9" s="1" customFormat="1" ht="16.2" thickBot="1" x14ac:dyDescent="0.35">
      <c r="A158" s="27" t="s">
        <v>362</v>
      </c>
      <c r="B158" s="36" t="s">
        <v>363</v>
      </c>
      <c r="C158" s="37" t="s">
        <v>75</v>
      </c>
      <c r="D158" s="38">
        <f t="shared" si="11"/>
        <v>7.25</v>
      </c>
      <c r="E158" s="38">
        <f t="shared" si="12"/>
        <v>6.6</v>
      </c>
      <c r="F158" s="39">
        <f t="shared" si="16"/>
        <v>6.36</v>
      </c>
      <c r="G158" s="46">
        <v>6</v>
      </c>
      <c r="H158" s="40" t="s">
        <v>364</v>
      </c>
      <c r="I158" s="6">
        <f t="shared" si="13"/>
        <v>8.9655172413793158E-2</v>
      </c>
    </row>
    <row r="159" spans="1:9" s="1" customFormat="1" ht="16.2" thickBot="1" x14ac:dyDescent="0.35">
      <c r="A159" s="27" t="s">
        <v>365</v>
      </c>
      <c r="B159" s="36" t="s">
        <v>366</v>
      </c>
      <c r="C159" s="37" t="s">
        <v>75</v>
      </c>
      <c r="D159" s="38">
        <f t="shared" si="11"/>
        <v>7.25</v>
      </c>
      <c r="E159" s="38">
        <f t="shared" si="12"/>
        <v>6.6</v>
      </c>
      <c r="F159" s="39">
        <f t="shared" si="16"/>
        <v>6.36</v>
      </c>
      <c r="G159" s="46">
        <v>6</v>
      </c>
      <c r="H159" s="40" t="s">
        <v>364</v>
      </c>
      <c r="I159" s="6">
        <f t="shared" si="13"/>
        <v>8.9655172413793158E-2</v>
      </c>
    </row>
    <row r="160" spans="1:9" s="1" customFormat="1" ht="16.2" thickBot="1" x14ac:dyDescent="0.35">
      <c r="A160" s="27" t="s">
        <v>367</v>
      </c>
      <c r="B160" s="36" t="s">
        <v>368</v>
      </c>
      <c r="C160" s="37" t="s">
        <v>55</v>
      </c>
      <c r="D160" s="38">
        <f t="shared" si="11"/>
        <v>4.5599999999999996</v>
      </c>
      <c r="E160" s="38">
        <f t="shared" si="12"/>
        <v>4.4000000000000004</v>
      </c>
      <c r="F160" s="39">
        <v>4</v>
      </c>
      <c r="G160" s="46">
        <v>4</v>
      </c>
      <c r="H160" s="40" t="s">
        <v>56</v>
      </c>
      <c r="I160" s="6">
        <f t="shared" si="13"/>
        <v>3.5087719298245452E-2</v>
      </c>
    </row>
    <row r="161" spans="1:9" s="1" customFormat="1" ht="16.2" thickBot="1" x14ac:dyDescent="0.35">
      <c r="A161" s="27" t="s">
        <v>369</v>
      </c>
      <c r="B161" s="36" t="s">
        <v>370</v>
      </c>
      <c r="C161" s="37" t="s">
        <v>75</v>
      </c>
      <c r="D161" s="38">
        <f t="shared" si="11"/>
        <v>3.65</v>
      </c>
      <c r="E161" s="38">
        <f t="shared" si="12"/>
        <v>3.15</v>
      </c>
      <c r="F161" s="39">
        <v>3.2</v>
      </c>
      <c r="G161" s="46">
        <f>20/7</f>
        <v>2.8571428571428572</v>
      </c>
      <c r="H161" s="40" t="s">
        <v>371</v>
      </c>
      <c r="I161" s="6">
        <f t="shared" si="13"/>
        <v>0.13698630136986301</v>
      </c>
    </row>
    <row r="162" spans="1:9" s="1" customFormat="1" ht="16.2" thickBot="1" x14ac:dyDescent="0.35">
      <c r="A162" s="27" t="s">
        <v>372</v>
      </c>
      <c r="B162" s="36" t="s">
        <v>373</v>
      </c>
      <c r="C162" s="37" t="s">
        <v>24</v>
      </c>
      <c r="D162" s="38">
        <f t="shared" si="11"/>
        <v>3.42</v>
      </c>
      <c r="E162" s="38">
        <f t="shared" si="12"/>
        <v>3.3</v>
      </c>
      <c r="F162" s="39">
        <v>3</v>
      </c>
      <c r="G162" s="46">
        <v>3</v>
      </c>
      <c r="H162" s="40" t="s">
        <v>374</v>
      </c>
      <c r="I162" s="6">
        <f t="shared" si="13"/>
        <v>3.5087719298245647E-2</v>
      </c>
    </row>
    <row r="163" spans="1:9" s="1" customFormat="1" ht="16.2" thickBot="1" x14ac:dyDescent="0.35">
      <c r="A163" s="27" t="s">
        <v>375</v>
      </c>
      <c r="B163" s="36" t="s">
        <v>376</v>
      </c>
      <c r="C163" s="37" t="s">
        <v>55</v>
      </c>
      <c r="D163" s="38">
        <f t="shared" si="11"/>
        <v>0.18000000000000002</v>
      </c>
      <c r="E163" s="38">
        <f t="shared" si="12"/>
        <v>0.17</v>
      </c>
      <c r="F163" s="39">
        <v>0.15</v>
      </c>
      <c r="G163" s="46">
        <v>0.15</v>
      </c>
      <c r="H163" s="40" t="s">
        <v>52</v>
      </c>
      <c r="I163" s="6">
        <f t="shared" si="13"/>
        <v>5.5555555555555601E-2</v>
      </c>
    </row>
    <row r="164" spans="1:9" s="1" customFormat="1" ht="16.2" thickBot="1" x14ac:dyDescent="0.35">
      <c r="A164" s="27" t="s">
        <v>377</v>
      </c>
      <c r="B164" s="36" t="s">
        <v>378</v>
      </c>
      <c r="C164" s="37" t="s">
        <v>75</v>
      </c>
      <c r="D164" s="38">
        <f t="shared" si="11"/>
        <v>12.31</v>
      </c>
      <c r="E164" s="38">
        <f t="shared" si="12"/>
        <v>10.69</v>
      </c>
      <c r="F164" s="39">
        <f>9.15*1.18</f>
        <v>10.797000000000001</v>
      </c>
      <c r="G164" s="46">
        <f>+F164*0.9</f>
        <v>9.7173000000000016</v>
      </c>
      <c r="H164" s="40" t="s">
        <v>379</v>
      </c>
      <c r="I164" s="6">
        <f t="shared" si="13"/>
        <v>0.131600324939074</v>
      </c>
    </row>
    <row r="165" spans="1:9" s="1" customFormat="1" ht="16.2" thickBot="1" x14ac:dyDescent="0.35">
      <c r="A165" s="27" t="s">
        <v>380</v>
      </c>
      <c r="B165" s="36" t="s">
        <v>381</v>
      </c>
      <c r="C165" s="37" t="s">
        <v>75</v>
      </c>
      <c r="D165" s="38">
        <f t="shared" si="11"/>
        <v>14.77</v>
      </c>
      <c r="E165" s="38">
        <f t="shared" si="12"/>
        <v>12.83</v>
      </c>
      <c r="F165" s="39">
        <f>10.98*1.18</f>
        <v>12.9564</v>
      </c>
      <c r="G165" s="46">
        <f>+F165*0.9</f>
        <v>11.66076</v>
      </c>
      <c r="H165" s="40" t="s">
        <v>382</v>
      </c>
      <c r="I165" s="6">
        <f t="shared" si="13"/>
        <v>0.13134732566012183</v>
      </c>
    </row>
    <row r="166" spans="1:9" s="1" customFormat="1" ht="16.2" thickBot="1" x14ac:dyDescent="0.35">
      <c r="A166" s="27" t="s">
        <v>383</v>
      </c>
      <c r="B166" s="36" t="s">
        <v>384</v>
      </c>
      <c r="C166" s="37" t="s">
        <v>24</v>
      </c>
      <c r="D166" s="38">
        <f t="shared" si="11"/>
        <v>1.94</v>
      </c>
      <c r="E166" s="38">
        <f t="shared" si="12"/>
        <v>1.87</v>
      </c>
      <c r="F166" s="39">
        <v>1.7</v>
      </c>
      <c r="G166" s="46">
        <v>1.7</v>
      </c>
      <c r="H166" s="40" t="s">
        <v>84</v>
      </c>
      <c r="I166" s="6">
        <f t="shared" si="13"/>
        <v>3.6082474226804044E-2</v>
      </c>
    </row>
    <row r="167" spans="1:9" s="1" customFormat="1" ht="16.2" thickBot="1" x14ac:dyDescent="0.35">
      <c r="A167" s="27" t="s">
        <v>385</v>
      </c>
      <c r="B167" s="36" t="s">
        <v>386</v>
      </c>
      <c r="C167" s="37" t="s">
        <v>387</v>
      </c>
      <c r="D167" s="38">
        <f t="shared" ref="D167:D188" si="17">ROUNDUP(F167*0.87*1.1/0.84,2)</f>
        <v>6.38</v>
      </c>
      <c r="E167" s="38">
        <f t="shared" ref="E167:E188" si="18">ROUNDUP(G167*1.1,2)</f>
        <v>6.16</v>
      </c>
      <c r="F167" s="39">
        <v>5.6</v>
      </c>
      <c r="G167" s="46">
        <v>5.6</v>
      </c>
      <c r="H167" s="40" t="s">
        <v>84</v>
      </c>
      <c r="I167" s="6">
        <f t="shared" si="13"/>
        <v>3.448275862068962E-2</v>
      </c>
    </row>
    <row r="168" spans="1:9" s="1" customFormat="1" ht="16.2" thickBot="1" x14ac:dyDescent="0.35">
      <c r="A168" s="27" t="s">
        <v>388</v>
      </c>
      <c r="B168" s="36" t="s">
        <v>389</v>
      </c>
      <c r="C168" s="37" t="s">
        <v>55</v>
      </c>
      <c r="D168" s="38">
        <f t="shared" si="17"/>
        <v>10.87</v>
      </c>
      <c r="E168" s="38">
        <f t="shared" si="18"/>
        <v>9.9</v>
      </c>
      <c r="F168" s="39">
        <f>1.06*G168</f>
        <v>9.5400000000000009</v>
      </c>
      <c r="G168" s="46">
        <v>9</v>
      </c>
      <c r="H168" s="40" t="s">
        <v>390</v>
      </c>
      <c r="I168" s="6">
        <f t="shared" si="13"/>
        <v>8.9236430542778189E-2</v>
      </c>
    </row>
    <row r="169" spans="1:9" s="1" customFormat="1" ht="16.2" thickBot="1" x14ac:dyDescent="0.35">
      <c r="A169" s="27" t="s">
        <v>391</v>
      </c>
      <c r="B169" s="36" t="s">
        <v>392</v>
      </c>
      <c r="C169" s="37" t="s">
        <v>55</v>
      </c>
      <c r="D169" s="38">
        <f t="shared" si="17"/>
        <v>2.2799999999999998</v>
      </c>
      <c r="E169" s="38">
        <f t="shared" si="18"/>
        <v>1.98</v>
      </c>
      <c r="F169" s="39">
        <v>2</v>
      </c>
      <c r="G169" s="46">
        <v>1.8</v>
      </c>
      <c r="H169" s="40"/>
      <c r="I169" s="6">
        <f t="shared" si="13"/>
        <v>0.13157894736842099</v>
      </c>
    </row>
    <row r="170" spans="1:9" s="1" customFormat="1" ht="16.2" thickBot="1" x14ac:dyDescent="0.35">
      <c r="A170" s="27" t="s">
        <v>393</v>
      </c>
      <c r="B170" s="36" t="s">
        <v>394</v>
      </c>
      <c r="C170" s="37" t="s">
        <v>55</v>
      </c>
      <c r="D170" s="38">
        <f t="shared" si="17"/>
        <v>13.68</v>
      </c>
      <c r="E170" s="38">
        <f t="shared" si="18"/>
        <v>13.2</v>
      </c>
      <c r="F170" s="39">
        <v>12</v>
      </c>
      <c r="G170" s="46">
        <v>12</v>
      </c>
      <c r="H170" s="40"/>
      <c r="I170" s="6">
        <f t="shared" si="13"/>
        <v>3.5087719298245647E-2</v>
      </c>
    </row>
    <row r="171" spans="1:9" s="1" customFormat="1" ht="16.2" thickBot="1" x14ac:dyDescent="0.35">
      <c r="A171" s="27" t="s">
        <v>395</v>
      </c>
      <c r="B171" s="63" t="s">
        <v>396</v>
      </c>
      <c r="C171" s="37" t="s">
        <v>55</v>
      </c>
      <c r="D171" s="38">
        <f t="shared" si="17"/>
        <v>3.42</v>
      </c>
      <c r="E171" s="38">
        <f t="shared" si="18"/>
        <v>3.3</v>
      </c>
      <c r="F171" s="39">
        <v>3</v>
      </c>
      <c r="G171" s="46">
        <v>3</v>
      </c>
      <c r="H171" s="40"/>
      <c r="I171" s="6">
        <f t="shared" si="13"/>
        <v>3.5087719298245647E-2</v>
      </c>
    </row>
    <row r="172" spans="1:9" s="1" customFormat="1" ht="16.2" thickBot="1" x14ac:dyDescent="0.35">
      <c r="A172" s="27" t="s">
        <v>397</v>
      </c>
      <c r="B172" s="63" t="s">
        <v>398</v>
      </c>
      <c r="C172" s="37" t="s">
        <v>55</v>
      </c>
      <c r="D172" s="38">
        <f t="shared" si="17"/>
        <v>1.1399999999999999</v>
      </c>
      <c r="E172" s="38">
        <f t="shared" si="18"/>
        <v>1.1000000000000001</v>
      </c>
      <c r="F172" s="39">
        <v>1</v>
      </c>
      <c r="G172" s="46">
        <v>1</v>
      </c>
      <c r="H172" s="40"/>
      <c r="I172" s="6">
        <f t="shared" si="13"/>
        <v>3.5087719298245452E-2</v>
      </c>
    </row>
    <row r="173" spans="1:9" s="1" customFormat="1" ht="16.2" thickBot="1" x14ac:dyDescent="0.35">
      <c r="A173" s="27" t="s">
        <v>399</v>
      </c>
      <c r="B173" s="63" t="s">
        <v>400</v>
      </c>
      <c r="C173" s="37" t="s">
        <v>75</v>
      </c>
      <c r="D173" s="38">
        <f t="shared" si="17"/>
        <v>24.16</v>
      </c>
      <c r="E173" s="38">
        <f t="shared" si="18"/>
        <v>22</v>
      </c>
      <c r="F173" s="39">
        <f t="shared" ref="F173:F178" si="19">1.06*G173</f>
        <v>21.200000000000003</v>
      </c>
      <c r="G173" s="25">
        <v>20</v>
      </c>
      <c r="H173" s="40" t="s">
        <v>401</v>
      </c>
      <c r="I173" s="6">
        <f t="shared" si="13"/>
        <v>8.9403973509933773E-2</v>
      </c>
    </row>
    <row r="174" spans="1:9" s="1" customFormat="1" ht="16.2" thickBot="1" x14ac:dyDescent="0.35">
      <c r="A174" s="27" t="s">
        <v>402</v>
      </c>
      <c r="B174" s="63" t="s">
        <v>403</v>
      </c>
      <c r="C174" s="37" t="s">
        <v>75</v>
      </c>
      <c r="D174" s="38">
        <f t="shared" si="17"/>
        <v>36.229999999999997</v>
      </c>
      <c r="E174" s="38">
        <f t="shared" si="18"/>
        <v>33</v>
      </c>
      <c r="F174" s="39">
        <f t="shared" si="19"/>
        <v>31.8</v>
      </c>
      <c r="G174" s="25">
        <v>30</v>
      </c>
      <c r="H174" s="40" t="s">
        <v>404</v>
      </c>
      <c r="I174" s="6">
        <f t="shared" si="13"/>
        <v>8.9152635937068653E-2</v>
      </c>
    </row>
    <row r="175" spans="1:9" s="1" customFormat="1" ht="16.2" thickBot="1" x14ac:dyDescent="0.35">
      <c r="A175" s="27" t="s">
        <v>405</v>
      </c>
      <c r="B175" s="63" t="s">
        <v>406</v>
      </c>
      <c r="C175" s="37" t="s">
        <v>75</v>
      </c>
      <c r="D175" s="38">
        <f t="shared" si="17"/>
        <v>18.12</v>
      </c>
      <c r="E175" s="38">
        <f t="shared" si="18"/>
        <v>16.5</v>
      </c>
      <c r="F175" s="39">
        <f t="shared" si="19"/>
        <v>15.9</v>
      </c>
      <c r="G175" s="25">
        <v>15</v>
      </c>
      <c r="H175" s="40" t="s">
        <v>407</v>
      </c>
      <c r="I175" s="6">
        <f t="shared" si="13"/>
        <v>8.9403973509933829E-2</v>
      </c>
    </row>
    <row r="176" spans="1:9" s="1" customFormat="1" ht="16.2" thickBot="1" x14ac:dyDescent="0.35">
      <c r="A176" s="27" t="s">
        <v>408</v>
      </c>
      <c r="B176" s="63" t="s">
        <v>409</v>
      </c>
      <c r="C176" s="37" t="s">
        <v>75</v>
      </c>
      <c r="D176" s="38">
        <f t="shared" si="17"/>
        <v>24.16</v>
      </c>
      <c r="E176" s="38">
        <f t="shared" si="18"/>
        <v>22</v>
      </c>
      <c r="F176" s="39">
        <f t="shared" si="19"/>
        <v>21.200000000000003</v>
      </c>
      <c r="G176" s="25">
        <v>20</v>
      </c>
      <c r="H176" s="40" t="s">
        <v>410</v>
      </c>
      <c r="I176" s="6">
        <f t="shared" si="13"/>
        <v>8.9403973509933773E-2</v>
      </c>
    </row>
    <row r="177" spans="1:10" s="1" customFormat="1" ht="16.2" thickBot="1" x14ac:dyDescent="0.35">
      <c r="A177" s="27" t="s">
        <v>411</v>
      </c>
      <c r="B177" s="63" t="s">
        <v>412</v>
      </c>
      <c r="C177" s="37" t="s">
        <v>75</v>
      </c>
      <c r="D177" s="38">
        <f t="shared" si="17"/>
        <v>16.91</v>
      </c>
      <c r="E177" s="38">
        <f t="shared" si="18"/>
        <v>15.4</v>
      </c>
      <c r="F177" s="39">
        <f t="shared" si="19"/>
        <v>14.84</v>
      </c>
      <c r="G177" s="25">
        <v>14</v>
      </c>
      <c r="H177" s="40" t="s">
        <v>413</v>
      </c>
      <c r="I177" s="6">
        <f t="shared" si="13"/>
        <v>8.9296274393849781E-2</v>
      </c>
    </row>
    <row r="178" spans="1:10" s="65" customFormat="1" ht="16.2" thickBot="1" x14ac:dyDescent="0.35">
      <c r="A178" s="27" t="s">
        <v>414</v>
      </c>
      <c r="B178" s="64" t="s">
        <v>415</v>
      </c>
      <c r="C178" s="37" t="s">
        <v>55</v>
      </c>
      <c r="D178" s="38">
        <f t="shared" si="17"/>
        <v>8.4599999999999991</v>
      </c>
      <c r="E178" s="38">
        <f t="shared" si="18"/>
        <v>7.7</v>
      </c>
      <c r="F178" s="39">
        <f t="shared" si="19"/>
        <v>7.42</v>
      </c>
      <c r="G178" s="25">
        <v>7</v>
      </c>
      <c r="H178" s="40"/>
      <c r="I178" s="6">
        <f t="shared" si="13"/>
        <v>8.983451536643014E-2</v>
      </c>
      <c r="J178" s="1"/>
    </row>
    <row r="179" spans="1:10" s="65" customFormat="1" ht="16.2" thickBot="1" x14ac:dyDescent="0.35">
      <c r="A179" s="27" t="s">
        <v>416</v>
      </c>
      <c r="B179" s="66" t="s">
        <v>417</v>
      </c>
      <c r="C179" s="37" t="s">
        <v>75</v>
      </c>
      <c r="D179" s="38">
        <f t="shared" si="17"/>
        <v>48.54</v>
      </c>
      <c r="E179" s="38">
        <f t="shared" si="18"/>
        <v>46.86</v>
      </c>
      <c r="F179" s="46">
        <f>35.5*1.2</f>
        <v>42.6</v>
      </c>
      <c r="G179" s="46">
        <f>35.5*1.2</f>
        <v>42.6</v>
      </c>
      <c r="H179" s="61" t="s">
        <v>418</v>
      </c>
      <c r="I179" s="6">
        <f t="shared" si="13"/>
        <v>3.4610630407910993E-2</v>
      </c>
      <c r="J179" s="1"/>
    </row>
    <row r="180" spans="1:10" s="65" customFormat="1" ht="16.2" thickBot="1" x14ac:dyDescent="0.35">
      <c r="A180" s="27" t="s">
        <v>419</v>
      </c>
      <c r="B180" s="36" t="s">
        <v>420</v>
      </c>
      <c r="C180" s="37" t="s">
        <v>75</v>
      </c>
      <c r="D180" s="38">
        <f t="shared" si="17"/>
        <v>63.69</v>
      </c>
      <c r="E180" s="38">
        <f t="shared" si="18"/>
        <v>61.49</v>
      </c>
      <c r="F180" s="46">
        <f>43*1.3</f>
        <v>55.9</v>
      </c>
      <c r="G180" s="46">
        <f>43*1.3</f>
        <v>55.9</v>
      </c>
      <c r="H180" s="62" t="s">
        <v>421</v>
      </c>
      <c r="I180" s="6">
        <f t="shared" si="13"/>
        <v>3.4542314335060387E-2</v>
      </c>
      <c r="J180" s="1"/>
    </row>
    <row r="181" spans="1:10" s="65" customFormat="1" ht="16.2" thickBot="1" x14ac:dyDescent="0.35">
      <c r="A181" s="27" t="s">
        <v>422</v>
      </c>
      <c r="B181" s="36" t="s">
        <v>423</v>
      </c>
      <c r="C181" s="37" t="s">
        <v>75</v>
      </c>
      <c r="D181" s="38">
        <f t="shared" si="17"/>
        <v>68.13000000000001</v>
      </c>
      <c r="E181" s="38">
        <f t="shared" si="18"/>
        <v>65.78</v>
      </c>
      <c r="F181" s="46">
        <f>46*1.3</f>
        <v>59.800000000000004</v>
      </c>
      <c r="G181" s="46">
        <f>46*1.3</f>
        <v>59.800000000000004</v>
      </c>
      <c r="H181" s="62" t="s">
        <v>424</v>
      </c>
      <c r="I181" s="6">
        <f t="shared" si="13"/>
        <v>3.4492881256421665E-2</v>
      </c>
      <c r="J181" s="1"/>
    </row>
    <row r="182" spans="1:10" s="65" customFormat="1" ht="16.2" thickBot="1" x14ac:dyDescent="0.35">
      <c r="A182" s="27" t="s">
        <v>425</v>
      </c>
      <c r="B182" s="36" t="s">
        <v>426</v>
      </c>
      <c r="C182" s="37" t="s">
        <v>75</v>
      </c>
      <c r="D182" s="38">
        <f t="shared" si="17"/>
        <v>35.549999999999997</v>
      </c>
      <c r="E182" s="38">
        <f t="shared" si="18"/>
        <v>34.32</v>
      </c>
      <c r="F182" s="46">
        <f>24*1.3</f>
        <v>31.200000000000003</v>
      </c>
      <c r="G182" s="46">
        <f>24*1.3</f>
        <v>31.200000000000003</v>
      </c>
      <c r="H182" s="62" t="s">
        <v>427</v>
      </c>
      <c r="I182" s="6"/>
      <c r="J182" s="1"/>
    </row>
    <row r="183" spans="1:10" s="65" customFormat="1" ht="16.2" thickBot="1" x14ac:dyDescent="0.35">
      <c r="A183" s="27" t="s">
        <v>428</v>
      </c>
      <c r="B183" s="64" t="s">
        <v>429</v>
      </c>
      <c r="C183" s="37" t="s">
        <v>55</v>
      </c>
      <c r="D183" s="38">
        <f t="shared" si="17"/>
        <v>8.4599999999999991</v>
      </c>
      <c r="E183" s="38">
        <f t="shared" si="18"/>
        <v>7.7</v>
      </c>
      <c r="F183" s="39">
        <f>1.06*G183</f>
        <v>7.42</v>
      </c>
      <c r="G183" s="25">
        <v>7</v>
      </c>
      <c r="H183" s="40"/>
      <c r="I183" s="6">
        <f>(-E183+D183)/D183</f>
        <v>8.983451536643014E-2</v>
      </c>
      <c r="J183" s="1"/>
    </row>
    <row r="184" spans="1:10" s="65" customFormat="1" ht="16.2" thickBot="1" x14ac:dyDescent="0.35">
      <c r="A184" s="27" t="s">
        <v>430</v>
      </c>
      <c r="B184" s="36" t="s">
        <v>431</v>
      </c>
      <c r="C184" s="37" t="s">
        <v>75</v>
      </c>
      <c r="D184" s="38">
        <f t="shared" si="17"/>
        <v>13.68</v>
      </c>
      <c r="E184" s="38">
        <f t="shared" si="18"/>
        <v>13.2</v>
      </c>
      <c r="F184" s="46">
        <f>10*1.2</f>
        <v>12</v>
      </c>
      <c r="G184" s="46">
        <f>10*1.2</f>
        <v>12</v>
      </c>
      <c r="H184" s="62" t="s">
        <v>432</v>
      </c>
      <c r="I184" s="6"/>
      <c r="J184" s="1"/>
    </row>
    <row r="185" spans="1:10" s="65" customFormat="1" ht="16.2" thickBot="1" x14ac:dyDescent="0.35">
      <c r="A185" s="27" t="s">
        <v>433</v>
      </c>
      <c r="B185" s="36" t="s">
        <v>434</v>
      </c>
      <c r="C185" s="37" t="s">
        <v>75</v>
      </c>
      <c r="D185" s="38">
        <f t="shared" si="17"/>
        <v>16.41</v>
      </c>
      <c r="E185" s="38">
        <f t="shared" si="18"/>
        <v>15.84</v>
      </c>
      <c r="F185" s="39">
        <f>12*1.2</f>
        <v>14.399999999999999</v>
      </c>
      <c r="G185" s="25">
        <f>12*1.2</f>
        <v>14.399999999999999</v>
      </c>
      <c r="H185" s="62" t="s">
        <v>435</v>
      </c>
      <c r="I185" s="6">
        <f>(-E185+D185)/D185</f>
        <v>3.4734917733089593E-2</v>
      </c>
      <c r="J185" s="1"/>
    </row>
    <row r="186" spans="1:10" s="65" customFormat="1" ht="16.2" thickBot="1" x14ac:dyDescent="0.35">
      <c r="A186" s="27" t="s">
        <v>436</v>
      </c>
      <c r="B186" s="36" t="s">
        <v>437</v>
      </c>
      <c r="C186" s="37" t="s">
        <v>233</v>
      </c>
      <c r="D186" s="38">
        <f t="shared" si="17"/>
        <v>4.2799999999999994</v>
      </c>
      <c r="E186" s="38">
        <f t="shared" si="18"/>
        <v>4.13</v>
      </c>
      <c r="F186" s="39">
        <f>3*1.25</f>
        <v>3.75</v>
      </c>
      <c r="G186" s="25">
        <f>3*1.25</f>
        <v>3.75</v>
      </c>
      <c r="H186" s="62" t="s">
        <v>438</v>
      </c>
      <c r="I186" s="6">
        <f>(-E186+D186)/D186</f>
        <v>3.5046728971962496E-2</v>
      </c>
      <c r="J186" s="1"/>
    </row>
    <row r="187" spans="1:10" s="65" customFormat="1" ht="16.2" thickBot="1" x14ac:dyDescent="0.35">
      <c r="A187" s="27" t="s">
        <v>439</v>
      </c>
      <c r="B187" s="36" t="s">
        <v>440</v>
      </c>
      <c r="C187" s="37" t="s">
        <v>75</v>
      </c>
      <c r="D187" s="38">
        <f t="shared" si="17"/>
        <v>22.220000000000002</v>
      </c>
      <c r="E187" s="38">
        <f t="shared" si="18"/>
        <v>21.45</v>
      </c>
      <c r="F187" s="25">
        <f>15*1.3</f>
        <v>19.5</v>
      </c>
      <c r="G187" s="25">
        <f>15*1.3</f>
        <v>19.5</v>
      </c>
      <c r="H187" s="62" t="s">
        <v>441</v>
      </c>
      <c r="I187" s="6">
        <f>(-E187+D187)/D187</f>
        <v>3.4653465346534788E-2</v>
      </c>
      <c r="J187" s="1"/>
    </row>
    <row r="188" spans="1:10" s="1" customFormat="1" ht="16.2" thickBot="1" x14ac:dyDescent="0.35">
      <c r="A188" s="27" t="s">
        <v>442</v>
      </c>
      <c r="B188" s="36" t="s">
        <v>443</v>
      </c>
      <c r="C188" s="37" t="s">
        <v>75</v>
      </c>
      <c r="D188" s="38">
        <f t="shared" si="17"/>
        <v>78.62</v>
      </c>
      <c r="E188" s="38">
        <f t="shared" si="18"/>
        <v>75.900000000000006</v>
      </c>
      <c r="F188" s="46">
        <f>60*1.15</f>
        <v>69</v>
      </c>
      <c r="G188" s="46">
        <f>60*1.15</f>
        <v>69</v>
      </c>
      <c r="H188" s="62" t="s">
        <v>456</v>
      </c>
      <c r="I188" s="6">
        <f>(-E188+D188)/D188</f>
        <v>3.4596794708725502E-2</v>
      </c>
    </row>
    <row r="189" spans="1:10" s="65" customFormat="1" ht="16.2" thickBot="1" x14ac:dyDescent="0.35">
      <c r="A189" s="27" t="s">
        <v>444</v>
      </c>
      <c r="B189" s="36" t="s">
        <v>457</v>
      </c>
      <c r="C189" s="37" t="s">
        <v>75</v>
      </c>
      <c r="D189" s="38">
        <f>2*D105</f>
        <v>28.2</v>
      </c>
      <c r="E189" s="38">
        <f>2*E105</f>
        <v>27.24</v>
      </c>
      <c r="F189" s="46">
        <f>2*F105</f>
        <v>24.747999999999998</v>
      </c>
      <c r="G189" s="46">
        <f>2*G105</f>
        <v>24.747999999999998</v>
      </c>
      <c r="H189" s="62" t="s">
        <v>458</v>
      </c>
      <c r="I189" s="6"/>
      <c r="J189" s="1"/>
    </row>
    <row r="190" spans="1:10" s="65" customFormat="1" ht="16.2" thickBot="1" x14ac:dyDescent="0.35">
      <c r="A190" s="27" t="s">
        <v>445</v>
      </c>
      <c r="B190" s="36" t="s">
        <v>459</v>
      </c>
      <c r="C190" s="37" t="s">
        <v>75</v>
      </c>
      <c r="D190" s="38">
        <f>ROUNDUP(F190*0.87*1.1/0.84,2)</f>
        <v>32.629999999999995</v>
      </c>
      <c r="E190" s="38">
        <f>ROUNDUP(G190*1.1,2)</f>
        <v>31.5</v>
      </c>
      <c r="F190" s="46">
        <f>24.9*1.15</f>
        <v>28.634999999999994</v>
      </c>
      <c r="G190" s="46">
        <f>24.9*1.15</f>
        <v>28.634999999999994</v>
      </c>
      <c r="H190" s="62" t="s">
        <v>460</v>
      </c>
      <c r="I190" s="6"/>
      <c r="J190" s="1"/>
    </row>
    <row r="191" spans="1:10" s="65" customFormat="1" ht="16.2" thickBot="1" x14ac:dyDescent="0.35">
      <c r="A191" s="27" t="s">
        <v>446</v>
      </c>
      <c r="B191" s="36" t="s">
        <v>461</v>
      </c>
      <c r="C191" s="37" t="s">
        <v>75</v>
      </c>
      <c r="D191" s="38">
        <f>D105+D190</f>
        <v>46.73</v>
      </c>
      <c r="E191" s="38">
        <f>E105+E190</f>
        <v>45.12</v>
      </c>
      <c r="F191" s="46">
        <f>F105+F190</f>
        <v>41.008999999999993</v>
      </c>
      <c r="G191" s="46">
        <f>G105+G190</f>
        <v>41.008999999999993</v>
      </c>
      <c r="H191" s="62" t="s">
        <v>458</v>
      </c>
      <c r="I191" s="70"/>
      <c r="J191" s="1"/>
    </row>
    <row r="192" spans="1:10" s="65" customFormat="1" ht="16.2" thickBot="1" x14ac:dyDescent="0.35">
      <c r="A192" s="27" t="s">
        <v>447</v>
      </c>
      <c r="B192" s="71" t="s">
        <v>462</v>
      </c>
      <c r="C192" s="37" t="s">
        <v>463</v>
      </c>
      <c r="D192" s="38">
        <f t="shared" ref="D192:D198" si="20">ROUNDUP(F192*0.87*1.1/0.84,2)</f>
        <v>7.2799999999999994</v>
      </c>
      <c r="E192" s="38">
        <f t="shared" ref="E192:E198" si="21">ROUNDUP(G192*1.1,2)</f>
        <v>7.0299999999999994</v>
      </c>
      <c r="F192" s="46">
        <f>+J192*1.15</f>
        <v>6.386333333333333</v>
      </c>
      <c r="G192" s="46">
        <f>+J192*1.15</f>
        <v>6.386333333333333</v>
      </c>
      <c r="H192" s="62" t="s">
        <v>464</v>
      </c>
      <c r="I192" s="70">
        <v>33.32</v>
      </c>
      <c r="J192" s="45">
        <f>+I192/6</f>
        <v>5.5533333333333337</v>
      </c>
    </row>
    <row r="193" spans="1:10" s="65" customFormat="1" ht="16.2" thickBot="1" x14ac:dyDescent="0.35">
      <c r="A193" s="27" t="s">
        <v>448</v>
      </c>
      <c r="B193" s="72" t="s">
        <v>465</v>
      </c>
      <c r="C193" s="37" t="s">
        <v>463</v>
      </c>
      <c r="D193" s="38">
        <f t="shared" si="20"/>
        <v>2.46</v>
      </c>
      <c r="E193" s="38">
        <f t="shared" si="21"/>
        <v>2.3699999999999997</v>
      </c>
      <c r="F193" s="46">
        <f t="shared" ref="F193:F196" si="22">+J193*1.15</f>
        <v>2.1505000000000001</v>
      </c>
      <c r="G193" s="46">
        <f t="shared" ref="G193:G196" si="23">+J193*1.15</f>
        <v>2.1505000000000001</v>
      </c>
      <c r="H193" s="62" t="s">
        <v>466</v>
      </c>
      <c r="I193" s="70">
        <v>11.22</v>
      </c>
      <c r="J193" s="45">
        <f t="shared" ref="J193:J195" si="24">+I193/6</f>
        <v>1.87</v>
      </c>
    </row>
    <row r="194" spans="1:10" s="65" customFormat="1" ht="16.2" thickBot="1" x14ac:dyDescent="0.35">
      <c r="A194" s="27" t="s">
        <v>449</v>
      </c>
      <c r="B194" s="72" t="s">
        <v>467</v>
      </c>
      <c r="C194" s="37" t="s">
        <v>463</v>
      </c>
      <c r="D194" s="38">
        <f t="shared" si="20"/>
        <v>5.67</v>
      </c>
      <c r="E194" s="38">
        <f t="shared" si="21"/>
        <v>5.4799999999999995</v>
      </c>
      <c r="F194" s="46">
        <f t="shared" si="22"/>
        <v>4.9737499999999999</v>
      </c>
      <c r="G194" s="46">
        <f t="shared" si="23"/>
        <v>4.9737499999999999</v>
      </c>
      <c r="H194" s="62" t="s">
        <v>468</v>
      </c>
      <c r="I194" s="70">
        <v>25.95</v>
      </c>
      <c r="J194" s="45">
        <f t="shared" si="24"/>
        <v>4.3250000000000002</v>
      </c>
    </row>
    <row r="195" spans="1:10" s="65" customFormat="1" ht="16.2" thickBot="1" x14ac:dyDescent="0.35">
      <c r="A195" s="27" t="s">
        <v>450</v>
      </c>
      <c r="B195" s="72" t="s">
        <v>469</v>
      </c>
      <c r="C195" s="37" t="s">
        <v>463</v>
      </c>
      <c r="D195" s="38">
        <f t="shared" si="20"/>
        <v>3.53</v>
      </c>
      <c r="E195" s="38">
        <f t="shared" si="21"/>
        <v>3.4</v>
      </c>
      <c r="F195" s="46">
        <f t="shared" si="22"/>
        <v>3.089666666666667</v>
      </c>
      <c r="G195" s="46">
        <f t="shared" si="23"/>
        <v>3.089666666666667</v>
      </c>
      <c r="H195" s="62" t="s">
        <v>470</v>
      </c>
      <c r="I195" s="70">
        <v>16.12</v>
      </c>
      <c r="J195" s="45">
        <f t="shared" si="24"/>
        <v>2.686666666666667</v>
      </c>
    </row>
    <row r="196" spans="1:10" s="65" customFormat="1" ht="16.2" thickBot="1" x14ac:dyDescent="0.35">
      <c r="A196" s="27" t="s">
        <v>451</v>
      </c>
      <c r="B196" s="73" t="s">
        <v>471</v>
      </c>
      <c r="C196" s="37" t="s">
        <v>55</v>
      </c>
      <c r="D196" s="38">
        <f t="shared" si="20"/>
        <v>0</v>
      </c>
      <c r="E196" s="38">
        <f t="shared" si="21"/>
        <v>0</v>
      </c>
      <c r="F196" s="46">
        <f t="shared" si="22"/>
        <v>0</v>
      </c>
      <c r="G196" s="46">
        <f t="shared" si="23"/>
        <v>0</v>
      </c>
      <c r="H196" s="62"/>
      <c r="I196" s="6"/>
      <c r="J196" s="45"/>
    </row>
    <row r="197" spans="1:10" s="65" customFormat="1" ht="16.2" thickBot="1" x14ac:dyDescent="0.35">
      <c r="A197" s="27" t="s">
        <v>452</v>
      </c>
      <c r="B197" s="64" t="s">
        <v>472</v>
      </c>
      <c r="C197" s="37" t="s">
        <v>55</v>
      </c>
      <c r="D197" s="38">
        <f t="shared" si="20"/>
        <v>6.27</v>
      </c>
      <c r="E197" s="38">
        <f t="shared" si="21"/>
        <v>6.05</v>
      </c>
      <c r="F197" s="46">
        <v>5.5</v>
      </c>
      <c r="G197" s="46">
        <v>5.5</v>
      </c>
      <c r="H197" s="62" t="s">
        <v>217</v>
      </c>
      <c r="I197" s="6"/>
      <c r="J197" s="1"/>
    </row>
    <row r="198" spans="1:10" s="65" customFormat="1" ht="16.2" thickBot="1" x14ac:dyDescent="0.35">
      <c r="A198" s="27" t="s">
        <v>453</v>
      </c>
      <c r="B198" s="64" t="s">
        <v>473</v>
      </c>
      <c r="C198" s="37" t="s">
        <v>55</v>
      </c>
      <c r="D198" s="38">
        <f t="shared" si="20"/>
        <v>39.879999999999995</v>
      </c>
      <c r="E198" s="38">
        <f t="shared" si="21"/>
        <v>38.5</v>
      </c>
      <c r="F198" s="46">
        <v>35</v>
      </c>
      <c r="G198" s="46">
        <v>35</v>
      </c>
      <c r="H198" s="62" t="s">
        <v>217</v>
      </c>
      <c r="I198" s="6"/>
      <c r="J198" s="1"/>
    </row>
    <row r="199" spans="1:10" s="65" customFormat="1" ht="16.2" thickBot="1" x14ac:dyDescent="0.35">
      <c r="A199" s="27" t="s">
        <v>454</v>
      </c>
      <c r="B199" s="36"/>
      <c r="C199" s="37"/>
      <c r="D199" s="38"/>
      <c r="E199" s="38"/>
      <c r="F199" s="46"/>
      <c r="G199" s="46"/>
      <c r="H199" s="62"/>
      <c r="I199" s="6"/>
      <c r="J199" s="1"/>
    </row>
    <row r="200" spans="1:10" s="65" customFormat="1" ht="16.2" thickBot="1" x14ac:dyDescent="0.35">
      <c r="A200" s="27" t="s">
        <v>455</v>
      </c>
      <c r="B200" s="36"/>
      <c r="C200" s="37"/>
      <c r="D200" s="38"/>
      <c r="E200" s="38"/>
      <c r="F200" s="46"/>
      <c r="G200" s="46"/>
      <c r="H200" s="62"/>
      <c r="I200" s="6"/>
      <c r="J200" s="1"/>
    </row>
  </sheetData>
  <mergeCells count="1">
    <mergeCell ref="F3:G3"/>
  </mergeCells>
  <pageMargins left="0.75" right="0.75" top="0.21" bottom="0.34" header="0" footer="0"/>
  <pageSetup scale="60" orientation="portrait" horizontalDpi="180" verticalDpi="144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 M.P.yMat.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Antequera Caballero</dc:creator>
  <cp:lastModifiedBy>Rafael Antequera Caballero</cp:lastModifiedBy>
  <dcterms:created xsi:type="dcterms:W3CDTF">2024-04-04T19:28:30Z</dcterms:created>
  <dcterms:modified xsi:type="dcterms:W3CDTF">2024-04-04T20:48:00Z</dcterms:modified>
</cp:coreProperties>
</file>