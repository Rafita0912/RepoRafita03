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AsusZenbookRafita\Desktop\REPO_RAFAEL_ANTEQUERA\TRABAJOS-PYTHON\COTIZA_ALU_TEM\"/>
    </mc:Choice>
  </mc:AlternateContent>
  <xr:revisionPtr revIDLastSave="0" documentId="13_ncr:1_{4E3E38EC-3985-4317-8BB5-9CC262862FC0}" xr6:coauthVersionLast="47" xr6:coauthVersionMax="47" xr10:uidLastSave="{00000000-0000-0000-0000-000000000000}"/>
  <bookViews>
    <workbookView xWindow="-108" yWindow="-108" windowWidth="23256" windowHeight="12456" activeTab="1" xr2:uid="{1B3D5D76-0D2B-4247-8E51-F5AC57810600}"/>
  </bookViews>
  <sheets>
    <sheet name="Costo M.P.yMat." sheetId="1" r:id="rId1"/>
    <sheet name="Costo M.P.yMat. (2)" sheetId="2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7" i="2" l="1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L117" i="1"/>
  <c r="L116" i="1"/>
  <c r="L115" i="1"/>
  <c r="L114" i="1"/>
  <c r="L198" i="1"/>
  <c r="L197" i="1"/>
  <c r="L196" i="1"/>
  <c r="L195" i="1"/>
  <c r="L194" i="1"/>
  <c r="L193" i="1"/>
  <c r="L192" i="1"/>
  <c r="L191" i="1"/>
  <c r="L190" i="1"/>
  <c r="L189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" i="1"/>
  <c r="L188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2" i="1"/>
  <c r="L21" i="1"/>
  <c r="L20" i="1"/>
  <c r="L19" i="1"/>
  <c r="L18" i="1"/>
  <c r="L17" i="1"/>
  <c r="L16" i="1"/>
  <c r="L15" i="1"/>
  <c r="L14" i="1"/>
  <c r="L13" i="1"/>
  <c r="L12" i="1"/>
  <c r="L10" i="1"/>
  <c r="L9" i="1"/>
  <c r="L8" i="1"/>
  <c r="L7" i="1"/>
</calcChain>
</file>

<file path=xl/sharedStrings.xml><?xml version="1.0" encoding="utf-8"?>
<sst xmlns="http://schemas.openxmlformats.org/spreadsheetml/2006/main" count="2876" uniqueCount="1096">
  <si>
    <t>ANALISIS DE COSTOS Y DETERMINACION DE PRECIOS DE VENTA (/i1,1/,84)</t>
  </si>
  <si>
    <t>CODIGO</t>
  </si>
  <si>
    <t>PRODUCTO</t>
  </si>
  <si>
    <t>Unidad</t>
  </si>
  <si>
    <t>Costo oper.</t>
  </si>
  <si>
    <t>venta CF</t>
  </si>
  <si>
    <t>CF</t>
  </si>
  <si>
    <t>$us/unid.</t>
  </si>
  <si>
    <t>MATERIALES COMUNES PARA EL VIDRIO TEMPLADO Y LA CARPINTERIA DE ALUMINIO</t>
  </si>
  <si>
    <t>M1</t>
  </si>
  <si>
    <t>Tubo</t>
  </si>
  <si>
    <t>M2</t>
  </si>
  <si>
    <t>M3</t>
  </si>
  <si>
    <t>Rollo</t>
  </si>
  <si>
    <t>M4</t>
  </si>
  <si>
    <t>Mt lineal</t>
  </si>
  <si>
    <t>M5</t>
  </si>
  <si>
    <t>M6</t>
  </si>
  <si>
    <t>M7</t>
  </si>
  <si>
    <t>M8</t>
  </si>
  <si>
    <t>M9</t>
  </si>
  <si>
    <t>M10</t>
  </si>
  <si>
    <t>M11</t>
  </si>
  <si>
    <t>M12</t>
  </si>
  <si>
    <t>Pza.</t>
  </si>
  <si>
    <t>M13</t>
  </si>
  <si>
    <t>M14</t>
  </si>
  <si>
    <t>M15</t>
  </si>
  <si>
    <t>M16</t>
  </si>
  <si>
    <t>M17</t>
  </si>
  <si>
    <t>M18</t>
  </si>
  <si>
    <t>M19</t>
  </si>
  <si>
    <t>M20</t>
  </si>
  <si>
    <t>PARA EL VIDRIO TEMPLADO</t>
  </si>
  <si>
    <t>V1</t>
  </si>
  <si>
    <t>Mt²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</si>
  <si>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</si>
  <si>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</si>
  <si>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</si>
  <si>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</si>
  <si>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</si>
  <si>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</si>
  <si>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</si>
  <si>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</si>
  <si>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</si>
  <si>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</si>
  <si>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</si>
  <si>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</si>
  <si>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</si>
  <si>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Barra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</si>
  <si>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</si>
  <si>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</si>
  <si>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</si>
  <si>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</si>
  <si>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</si>
  <si>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</si>
  <si>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</si>
  <si>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</si>
  <si>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</si>
  <si>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</si>
  <si>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</si>
  <si>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</si>
  <si>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</si>
  <si>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</si>
  <si>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</si>
  <si>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</si>
  <si>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</si>
  <si>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</si>
  <si>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</si>
  <si>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</si>
  <si>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</si>
  <si>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</si>
  <si>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</si>
  <si>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</si>
  <si>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</si>
  <si>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</si>
  <si>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</si>
  <si>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</si>
  <si>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</si>
  <si>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</si>
  <si>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</si>
  <si>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</si>
  <si>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</si>
  <si>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</si>
  <si>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</si>
  <si>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</si>
  <si>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</si>
  <si>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</si>
  <si>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</si>
  <si>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</si>
  <si>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</si>
  <si>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</si>
  <si>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</si>
  <si>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</si>
  <si>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</si>
  <si>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</si>
  <si>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</si>
  <si>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</si>
  <si>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</si>
  <si>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</si>
  <si>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</si>
  <si>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</si>
  <si>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V67</t>
  </si>
  <si>
    <t>V68</t>
  </si>
  <si>
    <t>V69</t>
  </si>
  <si>
    <t>V70</t>
  </si>
  <si>
    <t>MATERIALES Y MATERIA PRIMA PARA LA CARPINTERIA DE ALUMINIO</t>
  </si>
  <si>
    <t>A1</t>
  </si>
  <si>
    <t>Kgr.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</si>
  <si>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</si>
  <si>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</si>
  <si>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</si>
  <si>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</si>
  <si>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</si>
  <si>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</si>
  <si>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</si>
  <si>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</si>
  <si>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</si>
  <si>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</si>
  <si>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</si>
  <si>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</si>
  <si>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</si>
  <si>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</si>
  <si>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</si>
  <si>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</si>
  <si>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</si>
  <si>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</si>
  <si>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</si>
  <si>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</si>
  <si>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</si>
  <si>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</si>
  <si>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</si>
  <si>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</si>
  <si>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</si>
  <si>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</si>
  <si>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</si>
  <si>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</si>
  <si>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</si>
  <si>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</si>
  <si>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</si>
  <si>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</si>
  <si>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</si>
  <si>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</si>
  <si>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Par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</si>
  <si>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</si>
  <si>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</si>
  <si>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</si>
  <si>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</si>
  <si>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</si>
  <si>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</si>
  <si>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</si>
  <si>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</si>
  <si>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</si>
  <si>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</si>
  <si>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</si>
  <si>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</si>
  <si>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</si>
  <si>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</si>
  <si>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</si>
  <si>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</si>
  <si>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</si>
  <si>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</si>
  <si>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</si>
  <si>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</si>
  <si>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</si>
  <si>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</si>
  <si>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</si>
  <si>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</si>
  <si>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</si>
  <si>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</si>
  <si>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</si>
  <si>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</si>
  <si>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</si>
  <si>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</si>
  <si>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</si>
  <si>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</si>
  <si>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Hoyo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</si>
  <si>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</si>
  <si>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</si>
  <si>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</si>
  <si>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</si>
  <si>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</si>
  <si>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</si>
  <si>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</si>
  <si>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</si>
  <si>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</si>
  <si>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</si>
  <si>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</si>
  <si>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</si>
  <si>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 xml:space="preserve">ALUCOBOND - WILSTRONG 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</si>
  <si>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</si>
  <si>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</si>
  <si>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</si>
  <si>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</si>
  <si>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</si>
  <si>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</si>
  <si>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</si>
  <si>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</si>
  <si>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</si>
  <si>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</si>
  <si>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</si>
  <si>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</si>
  <si>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</si>
  <si>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</si>
  <si>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</si>
  <si>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</si>
  <si>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</si>
  <si>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</si>
  <si>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</si>
  <si>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</si>
  <si>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</si>
  <si>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Mt. Lin.</t>
  </si>
  <si>
    <t>venta CD</t>
  </si>
  <si>
    <t>M21</t>
  </si>
  <si>
    <t>V71</t>
  </si>
  <si>
    <t>A101</t>
  </si>
  <si>
    <t>A102</t>
  </si>
  <si>
    <t>A103</t>
  </si>
  <si>
    <t>A104</t>
  </si>
  <si>
    <t>A105</t>
  </si>
  <si>
    <t>A106</t>
  </si>
  <si>
    <t>A107</t>
  </si>
  <si>
    <t>A108</t>
  </si>
  <si>
    <t>["mp1", "mp1", "materia prima basica 1", "mt. lin.", 3.45, 3.1, "observaciones"],</t>
  </si>
  <si>
    <t xml:space="preserve">MAROL 20 Bs. -   -   - </t>
  </si>
  <si>
    <t xml:space="preserve">Ribepar  -   -   - </t>
  </si>
  <si>
    <t>Alvicruz 4,1 + 15% - 0,954 Kgr./barra - 4,715 $us./barra - 4 puesto S.C.</t>
  </si>
  <si>
    <t>Alvicruz 5,9  + 15% - 1,2 Kgr./barra - 6,785 $us./barra - 5,8 puesto S.C.</t>
  </si>
  <si>
    <t xml:space="preserve">Alcoa 6,73 + 15% - 6,222 Kgr./barra - 48,155169 $us./barra - </t>
  </si>
  <si>
    <t xml:space="preserve">Alcoa 6,73 + 15% - 3,744 Kgr./barra - 28,976688 $us./barra - </t>
  </si>
  <si>
    <t>Alvicruz 27,30  + 15% - 5,688 Kgr./barra - 31,395 $us./barra - 26,80 puesto S.C.</t>
  </si>
  <si>
    <t>Alvicruz 18,4  + 15% - 4,23 Kgr./barra - 21,16 $us./barra - 18 puesto S.C.</t>
  </si>
  <si>
    <t>Alvicruz 38  + 15% - 4,716 Kgr./barra - 43,7 $us./barra - 37,50 puesto S.C.</t>
  </si>
  <si>
    <t xml:space="preserve">Indalum -   -   - </t>
  </si>
  <si>
    <t xml:space="preserve">Perbol -   -   - </t>
  </si>
  <si>
    <t xml:space="preserve">Las Lomas ( 150+5%uniones) -   -   - </t>
  </si>
  <si>
    <t>MURANO 26 + 5%desp. - cbba - 180 - 25,83 - santa puej - 209,1 - 30</t>
  </si>
  <si>
    <t>MURANO 25 + 5% desp - cbba - 175 - 25,11 - santa puej - 202,13 - 29</t>
  </si>
  <si>
    <t xml:space="preserve">Revibol - cbba -  -  - santa puej -  - </t>
  </si>
  <si>
    <t xml:space="preserve">MURANO 39 + 5% desp. - cbba -  - 38,7931034482759 - santa puej - 270 - </t>
  </si>
  <si>
    <t xml:space="preserve">MURANO 38 + 5% desp. - cbba -  - 37,3563218390805 - santa puej - 260 - </t>
  </si>
  <si>
    <t>Revibol - cbba -  -  - santa puej -  - nuevos</t>
  </si>
  <si>
    <t>Alvicruz 49,45+ 15%desp. - cbba - 11,988 - Kgr./juego - santa puej - 56,8675 - $us./barra47,45 puesto S.C.</t>
  </si>
  <si>
    <t>Alvicruz 7,25+ 15%desp. - cbba - 1,542 - Kgr./barra - santa puej - 8,625 - $us./barra7,15 puesto S.C.</t>
  </si>
  <si>
    <t>Alvicruz 4,30+ 15%desp. - cbba - 0,906 - Kgr./barra - santa puej - 5,175 - $us./barra4,20 puesto S.C.</t>
  </si>
  <si>
    <t xml:space="preserve">Florencio Rivero - cbba -  -  - santa puej -  - </t>
  </si>
  <si>
    <t xml:space="preserve">Cristembo La Paz - cbba -  -  - santa puej -  - </t>
  </si>
  <si>
    <t xml:space="preserve">Alvicruz + 0,15 transp - cbba -  - 2,4 - santa puej - puestos S.C. - </t>
  </si>
  <si>
    <t xml:space="preserve">Alvicruz + 0,15 transp - cbba -  - 3 - santa puej - puestos S.C. - </t>
  </si>
  <si>
    <t xml:space="preserve">Alvicruz + 0,15 transp - cbba -  - 1 - santa puej - puestos S.C. - </t>
  </si>
  <si>
    <t xml:space="preserve">Alvicruz + 0,15 transp - cbba -  - 7,5 - santa puej - puestos S.C. - </t>
  </si>
  <si>
    <t xml:space="preserve">Alvicruz + 0,15 transp - cbba -  - 8,5 - santa puej - puestos S.C. - </t>
  </si>
  <si>
    <t xml:space="preserve">Alvicruz + 0,15 transp - cbba -  - 6,8 - santa puej - puestos S.C. - </t>
  </si>
  <si>
    <t xml:space="preserve">Alvicruz + 0,15 transp - cbba -  - 21 - santa puej - puestos S.C. - </t>
  </si>
  <si>
    <t xml:space="preserve">Alvicruz + 0,15 transp - cbba -  - 3,5 - santa puej - puestos S.C. - </t>
  </si>
  <si>
    <t xml:space="preserve">Alvicruz + 0,15 transp - cbba -  - 0,55 - santa puej - puestos S.C. - </t>
  </si>
  <si>
    <t xml:space="preserve">Alvicruz + 0,15 transp - cbba -  - 2,2 - santa puej - puestos S.C. - </t>
  </si>
  <si>
    <t xml:space="preserve">Alvicruz + 0,15 transp - cbba -  - 1,4 - santa puej - puestos S.C. - </t>
  </si>
  <si>
    <t xml:space="preserve">Alvicruz + 0,15 transp - cbba -  - 9 - santa puej - puestos S.C. - </t>
  </si>
  <si>
    <t xml:space="preserve">Alvicruz + 0,15 transp - cbba -  - 11 - santa puej - puestos S.C. - </t>
  </si>
  <si>
    <t xml:space="preserve">Alvicruz + 0,15 transp - cbba -  - 2,8 - santa puej - puestos S.C. - </t>
  </si>
  <si>
    <t xml:space="preserve">Alvicruz + 0,15 transp - cbba -  - 5,5 - santa puej - puestos S.C. - </t>
  </si>
  <si>
    <t xml:space="preserve">Alvicruz + 0,15 transp - cbba -  - 7 - santa puej - puestos S.C. - </t>
  </si>
  <si>
    <t xml:space="preserve">Alvicruz + 0,15 transp - cbba -  - 8,8 - santa puej - puestos S.C. - </t>
  </si>
  <si>
    <t xml:space="preserve">Alvicruz + 0,15 transp - cbba -  - 20 - santa puej - puestos S.C. - </t>
  </si>
  <si>
    <t xml:space="preserve">Alvicruz + 0,15 transp - cbba -  - 5 - santa puej - puestos S.C. - </t>
  </si>
  <si>
    <t xml:space="preserve">Alvicruz + 0,15 transp - cbba -  - 4,5 - santa puej - puestos S.C. - </t>
  </si>
  <si>
    <t xml:space="preserve">Alvicruz + 0,15 transp - cbba -  - 1,8 - santa puej - puestos S.C. - </t>
  </si>
  <si>
    <t xml:space="preserve">Alvicruz + 0,15 transp - cbba -  - 18 - santa puej - puestos S.C. - </t>
  </si>
  <si>
    <t xml:space="preserve">Alvicruz + 0,15 transp - cbba -  - 9,5 - santa puej - puestos S.C. - </t>
  </si>
  <si>
    <t xml:space="preserve">Alvicruz + 0,15 transp - cbba -  - 2 - santa puej - puestos S.C. - </t>
  </si>
  <si>
    <t xml:space="preserve">Alvicruz + 0,15 transp - cbba -  - 14 - santa puej - puestos S.C. - </t>
  </si>
  <si>
    <t xml:space="preserve">Alvicruz + 0,15 transp - cbba -  - 6 - santa puej - puestos S.C. - </t>
  </si>
  <si>
    <t xml:space="preserve">Alvicruz + 0,15 transp - cbba -  - 3,2 - santa puej - puestos S.C. - </t>
  </si>
  <si>
    <t xml:space="preserve">Alvicruz + 0,15 transp - cbba -  - 6,2 - santa puej - puestos S.C. - </t>
  </si>
  <si>
    <t xml:space="preserve">Hilarion -  8 col.+dis. + 2 tec - cbba -  - 8 - santa puej - Sus/mt2 - </t>
  </si>
  <si>
    <t xml:space="preserve">ALVICRUZ - cbba -  -  - santa puej -  - </t>
  </si>
  <si>
    <t xml:space="preserve">8D La Paz - cbba -  -  - santa puej -  - </t>
  </si>
  <si>
    <t xml:space="preserve"> - cbba -  -  - santa puej -  - </t>
  </si>
  <si>
    <t xml:space="preserve">Alcoa 6,73 + 15% - cbba -  -  - santa puej -  - </t>
  </si>
  <si>
    <t xml:space="preserve">Oriental 7.68 + 15% - cbba -  -  - santa puej -  - </t>
  </si>
  <si>
    <t xml:space="preserve">Oriental 9.48 + 15% - cbba -  -  - santa puej - 9,47449823569479 - </t>
  </si>
  <si>
    <t xml:space="preserve">Oriental 10.76 + 15% - cbba -  -  - santa puej - 10,754835835113 - </t>
  </si>
  <si>
    <t xml:space="preserve">Oriental 14.30 + 15% - cbba -  -  - santa puej - 14,0837135936004 - </t>
  </si>
  <si>
    <t xml:space="preserve">Garcia 10.09 + 15% - cbba -  -  - santa puej -  - </t>
  </si>
  <si>
    <t xml:space="preserve">Oriental 11.08 + 15% - cbba -  -  - santa puej -  - </t>
  </si>
  <si>
    <t xml:space="preserve">Garcia 14.33 + 15% - cbba -  -  - santa puej -  - </t>
  </si>
  <si>
    <t xml:space="preserve">Oriental 16.65 + 15% - cbba -  -  - santa puej -  - </t>
  </si>
  <si>
    <t xml:space="preserve">Revibol - 5,55  + 15% - cbba -  -  - santa puej -  - </t>
  </si>
  <si>
    <t xml:space="preserve">Revibol - 7,16 + 15% - cbba -  -  - santa puej -  - </t>
  </si>
  <si>
    <t xml:space="preserve">Garcia 24 + 15% - cbba -  -  - santa puej -  - </t>
  </si>
  <si>
    <t xml:space="preserve">Garcia 37 + 15% - cbba -  -  - santa puej -  - </t>
  </si>
  <si>
    <t xml:space="preserve">America home center - cbba -  -  - santa puej -  - </t>
  </si>
  <si>
    <t xml:space="preserve">Indalum - cbba -  -  - santa puej -  - </t>
  </si>
  <si>
    <t xml:space="preserve">Hilarion ; 7 maestro + 3diseno - cbba -  -  - santa puej -  - </t>
  </si>
  <si>
    <t xml:space="preserve">Hilarion ; 7 maestro + 5diseno - cbba -  -  - santa puej -  - </t>
  </si>
  <si>
    <t xml:space="preserve">Hilarion  - cbba -  -  - santa puej -  - </t>
  </si>
  <si>
    <t xml:space="preserve">Hilarion 4 - cbba -  -  - santa puej -  - </t>
  </si>
  <si>
    <t xml:space="preserve">Perbol - cbba -  -  - santa puej -  - </t>
  </si>
  <si>
    <t xml:space="preserve">Ferretería - 20% - cbba -  -  - santa puej -  - </t>
  </si>
  <si>
    <t xml:space="preserve">VICOR - cbba -  -  - santa puej -  - </t>
  </si>
  <si>
    <t xml:space="preserve">Revibol - 9,15 - 8,38 - 18% - cbba -  -  - santa puej -  - </t>
  </si>
  <si>
    <t xml:space="preserve">Revibol - 10,98 - 9,89 - 18% - cbba -  -  - santa puej -  - </t>
  </si>
  <si>
    <t xml:space="preserve">Hilarion o Silverio o Octavio 7 - cbba -  -  - santa puej -  - </t>
  </si>
  <si>
    <t xml:space="preserve">Box de  bano recto - cbba -  -  - santa puej -  - </t>
  </si>
  <si>
    <t xml:space="preserve">Box de  bano curvo - cbba -  -  - santa puej -  - </t>
  </si>
  <si>
    <t xml:space="preserve">Fachada estructural pequena - cbba -  -  - santa puej -  - </t>
  </si>
  <si>
    <t xml:space="preserve">Fachada estructural alta - cbba -  -  - santa puej -  - </t>
  </si>
  <si>
    <t xml:space="preserve">Termopanel - cbba -  -  - santa puej -  - </t>
  </si>
  <si>
    <t xml:space="preserve">Tecnopor 35.50 + 20% - cbba -  -  - santa puej -  - </t>
  </si>
  <si>
    <t xml:space="preserve">CRIS LP 43 + 30% - cbba -  -  - santa puej -  - </t>
  </si>
  <si>
    <t xml:space="preserve">CRIS LP 46 + 30% - cbba -  -  - santa puej -  - </t>
  </si>
  <si>
    <t xml:space="preserve">CRIS LP 24 + 30% - cbba -  -  - santa puej -  - </t>
  </si>
  <si>
    <t xml:space="preserve">tecnopor  10 + 20% - cbba -  -  - santa puej -  - </t>
  </si>
  <si>
    <t xml:space="preserve">tecnopor  12 + 20% - cbba -  -  - santa puej -  - </t>
  </si>
  <si>
    <t xml:space="preserve">Las Lomas ( 3+25% ) - cbba -  -  - santa puej -  - </t>
  </si>
  <si>
    <t xml:space="preserve">CRIS LP 15 + 30% - cbba -  -  - santa puej -  - </t>
  </si>
  <si>
    <t xml:space="preserve">CLP 60 + 15% - cbba -  -  - santa puej -  - </t>
  </si>
  <si>
    <t xml:space="preserve">ALVICRUZ = VID + (7xPERIM.) - cbba -  -  - santa puej -  - </t>
  </si>
  <si>
    <t xml:space="preserve">ALVICRUZ    24,90 + 15% - cbba -  -  - santa puej -  - </t>
  </si>
  <si>
    <t xml:space="preserve">ALVICRUZ = 33,32 - cbba -  -  - santa puej - 5,55333333333333 - </t>
  </si>
  <si>
    <t xml:space="preserve">ALVICRUZ = 11,22 - cbba -  -  - santa puej - 1,87 - </t>
  </si>
  <si>
    <t xml:space="preserve">ALVICRUZ = 25,95 - cbba -  -  - santa puej - 4,325 - </t>
  </si>
  <si>
    <t xml:space="preserve">ALVICRUZ = 16,12 - cbba -  -  - santa puej - 2,68666666666667 - </t>
  </si>
  <si>
    <t>CD</t>
  </si>
  <si>
    <t>ORIGEN</t>
  </si>
  <si>
    <t>PROVEEDOR</t>
  </si>
  <si>
    <t>SILICONA TRANSPARENTE, BLANCA O NEGRA</t>
  </si>
  <si>
    <t>SILICONA ESTRUCTURAL</t>
  </si>
  <si>
    <t>CINTA MASKING 1/2 " (ROLLO DE 20)</t>
  </si>
  <si>
    <t>"U" 15 X 15   ( 16X16 ) - 0,159 KG/MT.</t>
  </si>
  <si>
    <t>"U" 15 X 25 - 0,20 KG/MT.</t>
  </si>
  <si>
    <t>TUBO 50 X 50 - 1,037 KG/MT.</t>
  </si>
  <si>
    <t>TUBO 40 X 40 - 0,624 KG/MT.</t>
  </si>
  <si>
    <t>TUBO 80 X 40 - 0,948 KG/MT.</t>
  </si>
  <si>
    <t>TUBO 60 X 30 - 0,705 KG/MT.</t>
  </si>
  <si>
    <t>TUBO 100 X 50 - 1,560 KG/MT.</t>
  </si>
  <si>
    <t>FELPA</t>
  </si>
  <si>
    <t>REMACHE 4 X 10</t>
  </si>
  <si>
    <t>TARUGOS NO. 6</t>
  </si>
  <si>
    <t xml:space="preserve">TORNILLOS 8 X 1 1/2 </t>
  </si>
  <si>
    <t xml:space="preserve">TORNILLOS 8 X 1/2 </t>
  </si>
  <si>
    <t xml:space="preserve">TUBO GALVANIZADO DE 4" </t>
  </si>
  <si>
    <t>VIDRIO TEMPLADO 10MM INCOLORO</t>
  </si>
  <si>
    <t>VIDRIO TEMPLADO 8MM INCOLORO</t>
  </si>
  <si>
    <t>VIDRIO TEMPLADO 6MM INCOLORO</t>
  </si>
  <si>
    <t>VIDRIO TEMPLADO 5MM INCOLORO</t>
  </si>
  <si>
    <t>VIDRIO TEMPLADO 4MM INCOLORO</t>
  </si>
  <si>
    <t>VIDRIO TEMPLADO 10MM COLOR</t>
  </si>
  <si>
    <t>VIDRIO TEMPLADO 8MM COLOR</t>
  </si>
  <si>
    <t>VIDRIO TEMPLADO 6MM COLOR</t>
  </si>
  <si>
    <t>VIDRIO TEMPLADO 5MM COLOR</t>
  </si>
  <si>
    <t>VIDRIO TEMPLADO 4MM COLOR</t>
  </si>
  <si>
    <t>VIDRIO TEMPLADO CATEDRAL 10MM INCOLORO</t>
  </si>
  <si>
    <t>VIDRIO TEMPLADO CATEDRAL 10MM COLOR</t>
  </si>
  <si>
    <t>CABEZAL, TAPA, GUIA, TAPA-GUIA 1.998 KG/MT</t>
  </si>
  <si>
    <t>VEDAPRES 001 - H DE ALUMINIO</t>
  </si>
  <si>
    <t>VEDAPRES 002 - U DE ALUMINIO</t>
  </si>
  <si>
    <t>VEDAPRES 003 - H (2,10MT/BARRA) INC.</t>
  </si>
  <si>
    <t>VEDAPRES 001 - H (2,10MT/BARRA) BCE.</t>
  </si>
  <si>
    <t>VEDAPRES 002 - UC (2,10MT/BARRA) BCE.</t>
  </si>
  <si>
    <t>VEDAPRES 003 - H (2,10MT/BARRA) BCE.</t>
  </si>
  <si>
    <t>FRENO HIDRÁULICO DORMA</t>
  </si>
  <si>
    <t>FRENO HIDRÁULICO HYH</t>
  </si>
  <si>
    <t>MANIJONES DE VIDRIO</t>
  </si>
  <si>
    <t>1003 ( CROMADO Ó BRONCE VIEJO )</t>
  </si>
  <si>
    <t>1013 ( CROMADO Ó BRONCE VIEJO )</t>
  </si>
  <si>
    <t>1038 ( CROMADO Ó BRONCE VIEJO )</t>
  </si>
  <si>
    <t>1038-C ( CROMADO Ó BRONCE VIEJO )</t>
  </si>
  <si>
    <t>1101 ( CROMADO Ó BRONCE VIEJO )</t>
  </si>
  <si>
    <t>1103 ( CROMADO Ó BRONCE VIEJO )</t>
  </si>
  <si>
    <t>1114 ( CROMADO Ó BRONCE VIEJO )</t>
  </si>
  <si>
    <t>1115 ( CROMADO Ó BRONCE VIEJO )</t>
  </si>
  <si>
    <t>1117 ( CROMADO Ó BRONCE VIEJO )</t>
  </si>
  <si>
    <t>1123 ( CROMADO Ó BRONCE VIEJO )</t>
  </si>
  <si>
    <t>1125 ( CROMADO Ó BRONCE VIEJO )</t>
  </si>
  <si>
    <t>1125-A ( CROMADO Ó BRONCE VIEJO )</t>
  </si>
  <si>
    <t>1201 ( CROMADO Ó BRONCE VIEJO )</t>
  </si>
  <si>
    <t>1203 ( CROMADO Ó BRONCE VIEJO )</t>
  </si>
  <si>
    <t>1209 ( CROMADO Ó BRONCE VIEJO )</t>
  </si>
  <si>
    <t>1230 ( CROMADO Ó BRONCE VIEJO )</t>
  </si>
  <si>
    <t>1302 ( CROMADO Ó BRONCE VIEJO )</t>
  </si>
  <si>
    <t>1306 ( CROMADO Ó BRONCE VIEJO )</t>
  </si>
  <si>
    <t>1310 ( CROMADO Ó BRONCE VIEJO )</t>
  </si>
  <si>
    <t>1316 ( CROMADO Ó BRONCE VIEJO )</t>
  </si>
  <si>
    <t>1319 ( CROMADO Ó BRONCE VIEJO )</t>
  </si>
  <si>
    <t>1329 ( CROMADO Ó BRONCE VIEJO )</t>
  </si>
  <si>
    <t>1335 ( CROMADO Ó BRONCE VIEJO )</t>
  </si>
  <si>
    <t>1335-C ( CROMADO Ó BRONCE VIEJO )</t>
  </si>
  <si>
    <t>1504 ( CROMADO Ó BRONCE VIEJO )</t>
  </si>
  <si>
    <t>1510 ( CROMADO Ó BRONCE VIEJO )</t>
  </si>
  <si>
    <t>1511 ( CROMADO Ó BRONCE VIEJO )</t>
  </si>
  <si>
    <t>1511-A ( CROMADO Ó BRONCE VIEJO )</t>
  </si>
  <si>
    <t>1520 ( CROMADO Ó BRONCE VIEJO )</t>
  </si>
  <si>
    <t>1523 ( CROMADO Ó BRONCE VIEJO )</t>
  </si>
  <si>
    <t>1531 ( CROMADO Ó BRONCE VIEJO )</t>
  </si>
  <si>
    <t>1629-J ( CROMADO Ó BRONCE VIEJO )</t>
  </si>
  <si>
    <t>1629-P ( CROMADO Ó BRONCE VIEJO )</t>
  </si>
  <si>
    <t>1636-AL ( CROMADO Ó BRONCE VIEJO )</t>
  </si>
  <si>
    <t>1800 ( CROMADO Ó BRONCE VIEJO )</t>
  </si>
  <si>
    <t>1800-C ( CROMADO Ó BRONCE VIEJO )</t>
  </si>
  <si>
    <t>MANO DE OBRA INSTALACIÒN TEMPLADO</t>
  </si>
  <si>
    <t>HERRAJE ARANA</t>
  </si>
  <si>
    <t>SOPORTE HERRAJE - TUBO</t>
  </si>
  <si>
    <t>ALUMINIO ANODIZADO BRONCE O CHAMPAGNE</t>
  </si>
  <si>
    <t>ALUMINIO ANODIZADO NATURAL</t>
  </si>
  <si>
    <t>VIDRIO INCOLORORO 3MM</t>
  </si>
  <si>
    <t>VIDRIO INCOLORORO 4MM</t>
  </si>
  <si>
    <t>VIDRIO INCOLORORO 5MM</t>
  </si>
  <si>
    <t>VIDRIO INCOLORORO 6MM</t>
  </si>
  <si>
    <t>VIDRIO COLOR 3MM</t>
  </si>
  <si>
    <t>VIDRIO COLOR 4MM</t>
  </si>
  <si>
    <t>VIDRIO COLOR 5MM</t>
  </si>
  <si>
    <t>VIDRIO COLOR 6MM</t>
  </si>
  <si>
    <t>VIDRIO CATEDRAL CLARO</t>
  </si>
  <si>
    <t>VIDRIO CATEDRAL COLOR</t>
  </si>
  <si>
    <t>VIDRIO REFLECTIVO BRONCE O GRIS 4MM</t>
  </si>
  <si>
    <t>VIDRIO REFLECTIVO BRONCE O GRIS 5MM</t>
  </si>
  <si>
    <t>VIDRIO REFLECTIVO BRONCE O GRIS 6MM</t>
  </si>
  <si>
    <t>VIDRIO REFLECTIVO AZURLITE 4MM</t>
  </si>
  <si>
    <t>VIDRIO REFLECTIVO AZURLITE 5MM</t>
  </si>
  <si>
    <t>VIDRIO REFLECTIVO AZURLITE 6MM</t>
  </si>
  <si>
    <t>CINTA DOB.CONT. 4972 - 3M 1/2"=12MM (ROLLO DE 20)</t>
  </si>
  <si>
    <t>CINTA DOB.CONT. 4972 - 3M 3/4"=19MM (ROLLO DE 20)</t>
  </si>
  <si>
    <t>CINTA DOB.CONT. 4972 - 3M 1"=25MM (ROLLO DE 20)</t>
  </si>
  <si>
    <t>BURLETE</t>
  </si>
  <si>
    <t>PATIN SERIE 25</t>
  </si>
  <si>
    <t>PATIN SERIE 20</t>
  </si>
  <si>
    <t>PATIN SERIE 50</t>
  </si>
  <si>
    <t>PATIN SERIE 4000</t>
  </si>
  <si>
    <t>PATIN SHOWER DOOR</t>
  </si>
  <si>
    <t>CIERRE SERIE 20</t>
  </si>
  <si>
    <t>CIERRE SERIE 25</t>
  </si>
  <si>
    <t>GUIA EXTERIOR SHOWER DOOR</t>
  </si>
  <si>
    <t>GUIA SERIE 50</t>
  </si>
  <si>
    <t>GUIA SERIE 20</t>
  </si>
  <si>
    <t>GUIA SERIE 25</t>
  </si>
  <si>
    <t>CELOSIAS 2 ALETAS - 320 MM.</t>
  </si>
  <si>
    <t>CELOSIAS 3 ALETAS - 460 MM.</t>
  </si>
  <si>
    <t>CELOSIAS 4 ALETAS - 600 MM.</t>
  </si>
  <si>
    <t>CELOSIAS 5 ALETAS - 740MM.</t>
  </si>
  <si>
    <t>CELOSIAS 6 ALETAS - 880 MM.</t>
  </si>
  <si>
    <t>CELOSIAS 7 ALETAS - 1000 MM.</t>
  </si>
  <si>
    <t>CELOSIAS 8 ALETAS - 1160 MM.</t>
  </si>
  <si>
    <t>CELOSIAS 9 ALETAS - 1300 MM.</t>
  </si>
  <si>
    <t>BISAGRA SERIE 32 Y 42</t>
  </si>
  <si>
    <t>BISAGRA SERIE 35</t>
  </si>
  <si>
    <t>BISAGRA SERIE 45</t>
  </si>
  <si>
    <t>BRAZO DE APERTURA P/PROYECTANTE 300</t>
  </si>
  <si>
    <t>BRAZO DE APERTURA P/PROYECTANTE 400</t>
  </si>
  <si>
    <t>BRAZO DE APERTURA P/PROYECTANTE 500</t>
  </si>
  <si>
    <t>BRAZO DE APERTURA P/PROYECTANTE 650</t>
  </si>
  <si>
    <t>BRAZO DE APERTURA P/PROYECTANTE 900</t>
  </si>
  <si>
    <t>BRAZO DE APERTURA P/PROYECTANTE 1200</t>
  </si>
  <si>
    <t>MANIJA PARA PROYECTANTE</t>
  </si>
  <si>
    <t>CHAPA P/PUERTA DE ALUMINIO</t>
  </si>
  <si>
    <t>MANO DE OBRA CARPINTERÌA DE ALUMINIO.</t>
  </si>
  <si>
    <t>MANO DE OBRA FACHADAS, TECHOS Y ESPECIALES</t>
  </si>
  <si>
    <t>MANO DE OBRA COLOCACIÓN ESPEJOS</t>
  </si>
  <si>
    <t>MANO DE OBRA FABRICACIÓN MALLERAS</t>
  </si>
  <si>
    <t>MANO DE OBRA COLOCACIÓN CRUDO</t>
  </si>
  <si>
    <t>MANO DE OBRA DIVISORES DE AMBIENTE Y CIELOS</t>
  </si>
  <si>
    <t>TESADOR PARA PUERTAS 5/16</t>
  </si>
  <si>
    <t>MALLA MILIMÉTRICA PLÁSTICA</t>
  </si>
  <si>
    <t>BISELADO HASTA 2,7 CM</t>
  </si>
  <si>
    <t>ESCUADRA DE ARMADO</t>
  </si>
  <si>
    <t>VIDRIO ESPEJO INCOLORO 3MM</t>
  </si>
  <si>
    <t>VIDRIO ESPEJO INCOLORO 4MM</t>
  </si>
  <si>
    <t>PULIDO DE VIDRIO A MÁQUINA</t>
  </si>
  <si>
    <t>PERFORACIÓN DE VIDRIO</t>
  </si>
  <si>
    <t>MANO DE OBRA CELOSÍAS</t>
  </si>
  <si>
    <t>JALADOR PARA MALLERA</t>
  </si>
  <si>
    <t>ANCLAJES DE HIERRO (PZAS.)</t>
  </si>
  <si>
    <t>PERNOS DE EXPANSIÓN (PZAS.)</t>
  </si>
  <si>
    <t>TORNILLO Y TUERCA DE 2" (PZAS.)</t>
  </si>
  <si>
    <t>MANO DE OBRA BOX DE BANO RECTO</t>
  </si>
  <si>
    <t>MANO DE OBRA BOX DE BANO CURVO</t>
  </si>
  <si>
    <t>MANO DE OBRA FACHADA ESTRUCTURAL PEQUE</t>
  </si>
  <si>
    <t>MANO DE OBRA FACHADA ESTRUCTURAL GRANDE</t>
  </si>
  <si>
    <t>MANO DE OBRA CARPINTERIA DE ALUMINIO CON TERMOPANEL</t>
  </si>
  <si>
    <t>JALADORES PAR SERIE 25</t>
  </si>
  <si>
    <t>VIDRIO LAMINADO REFLECTIVO GRIS 4+4MM</t>
  </si>
  <si>
    <t>VIDRIO LAMINADO REFLECTIVO AZUL 4+4MM</t>
  </si>
  <si>
    <t>VIDRIO LAMINADO INCOLORO 4+4MM</t>
  </si>
  <si>
    <t>PATIN SERIE 30 + RIEL SUP</t>
  </si>
  <si>
    <t>PANEL CIELO FALSO 122X61</t>
  </si>
  <si>
    <t>PANEL CIELO FALSO 61X61</t>
  </si>
  <si>
    <t>ALAMBRE GALVANIZADO</t>
  </si>
  <si>
    <t>ACRILICO</t>
  </si>
  <si>
    <t>VIDRIO LAMINADO REFLECTIVO BRONCE O GRIS 5+5 MM</t>
  </si>
  <si>
    <t>VIDRIO TERMOPANEL DVH INCOLORO 5+5MM + 7 X (2H+2B)</t>
  </si>
  <si>
    <t>VIDRIO LAMINADO INCOLORO 3+3 MM</t>
  </si>
  <si>
    <t>VIDRIO TERMOPANEL DVH INCOLORO 5+6(3+3)MM + 7 X (2H+2B)</t>
  </si>
  <si>
    <t>ALUMINIO  6001</t>
  </si>
  <si>
    <t>ALUMINIO  6002</t>
  </si>
  <si>
    <t>ALUMINIO  6004</t>
  </si>
  <si>
    <t>ALUMINIO  6005</t>
  </si>
  <si>
    <t>JALADORES PAR</t>
  </si>
  <si>
    <t>RODAMIENTO SERIE 60 ALVI</t>
  </si>
  <si>
    <t>MANIJA + KIT BIPUNTO SERIE 60 ALVI</t>
  </si>
  <si>
    <t xml:space="preserve"> </t>
  </si>
  <si>
    <t>Precio10 de</t>
  </si>
  <si>
    <t>Precio15 de</t>
  </si>
  <si>
    <t>2.9</t>
  </si>
  <si>
    <t>3.31</t>
  </si>
  <si>
    <t>3.19</t>
  </si>
  <si>
    <t>3.46</t>
  </si>
  <si>
    <t>4.35</t>
  </si>
  <si>
    <t>6.24</t>
  </si>
  <si>
    <t>7.11</t>
  </si>
  <si>
    <t>6.59</t>
  </si>
  <si>
    <t>7.44</t>
  </si>
  <si>
    <t>8.99</t>
  </si>
  <si>
    <t>0.65</t>
  </si>
  <si>
    <t>0.75</t>
  </si>
  <si>
    <t>0.72</t>
  </si>
  <si>
    <t>0.78</t>
  </si>
  <si>
    <t>0.98</t>
  </si>
  <si>
    <t>0.9</t>
  </si>
  <si>
    <t>0.87</t>
  </si>
  <si>
    <t>0.94</t>
  </si>
  <si>
    <t>1.18</t>
  </si>
  <si>
    <t>1.29</t>
  </si>
  <si>
    <t>1.25</t>
  </si>
  <si>
    <t>1.35</t>
  </si>
  <si>
    <t>1.7</t>
  </si>
  <si>
    <t>9.15</t>
  </si>
  <si>
    <t>8.48</t>
  </si>
  <si>
    <t>9.56</t>
  </si>
  <si>
    <t>11.56</t>
  </si>
  <si>
    <t>5.51</t>
  </si>
  <si>
    <t>5.1</t>
  </si>
  <si>
    <t>5.76</t>
  </si>
  <si>
    <t>6.96</t>
  </si>
  <si>
    <t>5.97</t>
  </si>
  <si>
    <t>7.85</t>
  </si>
  <si>
    <t>4.02</t>
  </si>
  <si>
    <t>3.88</t>
  </si>
  <si>
    <t>4.21</t>
  </si>
  <si>
    <t>5.29</t>
  </si>
  <si>
    <t>8.3</t>
  </si>
  <si>
    <t>8.02</t>
  </si>
  <si>
    <t>8.68</t>
  </si>
  <si>
    <t>10.93</t>
  </si>
  <si>
    <t>0.15</t>
  </si>
  <si>
    <t>0.18</t>
  </si>
  <si>
    <t>0.17</t>
  </si>
  <si>
    <t>0.23</t>
  </si>
  <si>
    <t>0.03</t>
  </si>
  <si>
    <t>0.04</t>
  </si>
  <si>
    <t>0.05</t>
  </si>
  <si>
    <t>0.02</t>
  </si>
  <si>
    <t>26.25</t>
  </si>
  <si>
    <t>25.2</t>
  </si>
  <si>
    <t>29.91</t>
  </si>
  <si>
    <t>27.72</t>
  </si>
  <si>
    <t>31.27</t>
  </si>
  <si>
    <t>37.8</t>
  </si>
  <si>
    <t>31.5</t>
  </si>
  <si>
    <t>35.89</t>
  </si>
  <si>
    <t>34.65</t>
  </si>
  <si>
    <t>37.52</t>
  </si>
  <si>
    <t>47.25</t>
  </si>
  <si>
    <t>30.45</t>
  </si>
  <si>
    <t>34.7</t>
  </si>
  <si>
    <t>33.5</t>
  </si>
  <si>
    <t>36.27</t>
  </si>
  <si>
    <t>45.68</t>
  </si>
  <si>
    <t>29.63</t>
  </si>
  <si>
    <t>27.5</t>
  </si>
  <si>
    <t>30.97</t>
  </si>
  <si>
    <t>37.5</t>
  </si>
  <si>
    <t>27.35</t>
  </si>
  <si>
    <t>26.4</t>
  </si>
  <si>
    <t>28.59</t>
  </si>
  <si>
    <t>23.93</t>
  </si>
  <si>
    <t>23.1</t>
  </si>
  <si>
    <t>25.02</t>
  </si>
  <si>
    <t>40.95</t>
  </si>
  <si>
    <t>46.66</t>
  </si>
  <si>
    <t>45.05</t>
  </si>
  <si>
    <t>48.78</t>
  </si>
  <si>
    <t>61.43</t>
  </si>
  <si>
    <t>39.9</t>
  </si>
  <si>
    <t>45.46</t>
  </si>
  <si>
    <t>43.89</t>
  </si>
  <si>
    <t>47.53</t>
  </si>
  <si>
    <t>59.85</t>
  </si>
  <si>
    <t>47.85</t>
  </si>
  <si>
    <t>50.03</t>
  </si>
  <si>
    <t>45.58</t>
  </si>
  <si>
    <t>41.8</t>
  </si>
  <si>
    <t>47.65</t>
  </si>
  <si>
    <t>43.3</t>
  </si>
  <si>
    <t>39.6</t>
  </si>
  <si>
    <t>45.27</t>
  </si>
  <si>
    <t>50.13</t>
  </si>
  <si>
    <t>48.4</t>
  </si>
  <si>
    <t>52.41</t>
  </si>
  <si>
    <t>50.6</t>
  </si>
  <si>
    <t>54.79</t>
  </si>
  <si>
    <t>10.8</t>
  </si>
  <si>
    <t>10.43</t>
  </si>
  <si>
    <t>11.29</t>
  </si>
  <si>
    <t>14.22</t>
  </si>
  <si>
    <t>9.83</t>
  </si>
  <si>
    <t>9.49</t>
  </si>
  <si>
    <t>10.28</t>
  </si>
  <si>
    <t>12.94</t>
  </si>
  <si>
    <t>5.9</t>
  </si>
  <si>
    <t>5.7</t>
  </si>
  <si>
    <t>6.17</t>
  </si>
  <si>
    <t>7.77</t>
  </si>
  <si>
    <t>5.25</t>
  </si>
  <si>
    <t>5.99</t>
  </si>
  <si>
    <t>5.5</t>
  </si>
  <si>
    <t>6.26</t>
  </si>
  <si>
    <t>7.5</t>
  </si>
  <si>
    <t>89.25</t>
  </si>
  <si>
    <t>101.69</t>
  </si>
  <si>
    <t>93.5</t>
  </si>
  <si>
    <t>106.31</t>
  </si>
  <si>
    <t>127.5</t>
  </si>
  <si>
    <t>79.75</t>
  </si>
  <si>
    <t>83.38</t>
  </si>
  <si>
    <t>3.42</t>
  </si>
  <si>
    <t>3.3</t>
  </si>
  <si>
    <t>3.58</t>
  </si>
  <si>
    <t>4.5</t>
  </si>
  <si>
    <t>2.55</t>
  </si>
  <si>
    <t>2.91</t>
  </si>
  <si>
    <t>2.81</t>
  </si>
  <si>
    <t>3.04</t>
  </si>
  <si>
    <t>3.83</t>
  </si>
  <si>
    <t>3.15</t>
  </si>
  <si>
    <t>3.59</t>
  </si>
  <si>
    <t>3.47</t>
  </si>
  <si>
    <t>3.76</t>
  </si>
  <si>
    <t>4.73</t>
  </si>
  <si>
    <t>1.15</t>
  </si>
  <si>
    <t>1.32</t>
  </si>
  <si>
    <t>1.27</t>
  </si>
  <si>
    <t>1.37</t>
  </si>
  <si>
    <t>1.73</t>
  </si>
  <si>
    <t>7.65</t>
  </si>
  <si>
    <t>8.72</t>
  </si>
  <si>
    <t>8.42</t>
  </si>
  <si>
    <t>9.12</t>
  </si>
  <si>
    <t>11.48</t>
  </si>
  <si>
    <t>8.65</t>
  </si>
  <si>
    <t>9.86</t>
  </si>
  <si>
    <t>9.52</t>
  </si>
  <si>
    <t>10.31</t>
  </si>
  <si>
    <t>12.98</t>
  </si>
  <si>
    <t>6.95</t>
  </si>
  <si>
    <t>7.92</t>
  </si>
  <si>
    <t>8.28</t>
  </si>
  <si>
    <t>21.15</t>
  </si>
  <si>
    <t>24.1</t>
  </si>
  <si>
    <t>23.27</t>
  </si>
  <si>
    <t>31.73</t>
  </si>
  <si>
    <t>3.65</t>
  </si>
  <si>
    <t>4.16</t>
  </si>
  <si>
    <t>5.48</t>
  </si>
  <si>
    <t>0.7</t>
  </si>
  <si>
    <t>0.8</t>
  </si>
  <si>
    <t>0.77</t>
  </si>
  <si>
    <t>0.84</t>
  </si>
  <si>
    <t>1.05</t>
  </si>
  <si>
    <t>2.35</t>
  </si>
  <si>
    <t>2.68</t>
  </si>
  <si>
    <t>2.59</t>
  </si>
  <si>
    <t>2.8</t>
  </si>
  <si>
    <t>3.53</t>
  </si>
  <si>
    <t>1.55</t>
  </si>
  <si>
    <t>1.77</t>
  </si>
  <si>
    <t>1.71</t>
  </si>
  <si>
    <t>1.85</t>
  </si>
  <si>
    <t>2.33</t>
  </si>
  <si>
    <t>10.07</t>
  </si>
  <si>
    <t>10.9</t>
  </si>
  <si>
    <t>13.73</t>
  </si>
  <si>
    <t>11.15</t>
  </si>
  <si>
    <t>12.71</t>
  </si>
  <si>
    <t>12.27</t>
  </si>
  <si>
    <t>13.29</t>
  </si>
  <si>
    <t>16.73</t>
  </si>
  <si>
    <t>2.95</t>
  </si>
  <si>
    <t>3.37</t>
  </si>
  <si>
    <t>3.25</t>
  </si>
  <si>
    <t>3.52</t>
  </si>
  <si>
    <t>4.43</t>
  </si>
  <si>
    <t>5.65</t>
  </si>
  <si>
    <t>6.44</t>
  </si>
  <si>
    <t>6.22</t>
  </si>
  <si>
    <t>6.73</t>
  </si>
  <si>
    <t>7.15</t>
  </si>
  <si>
    <t>8.15</t>
  </si>
  <si>
    <t>7.87</t>
  </si>
  <si>
    <t>8.52</t>
  </si>
  <si>
    <t>10.73</t>
  </si>
  <si>
    <t>8.95</t>
  </si>
  <si>
    <t>10.2</t>
  </si>
  <si>
    <t>9.85</t>
  </si>
  <si>
    <t>10.67</t>
  </si>
  <si>
    <t>13.43</t>
  </si>
  <si>
    <t>20.15</t>
  </si>
  <si>
    <t>22.96</t>
  </si>
  <si>
    <t>22.17</t>
  </si>
  <si>
    <t>24.01</t>
  </si>
  <si>
    <t>30.23</t>
  </si>
  <si>
    <t>5.15</t>
  </si>
  <si>
    <t>5.87</t>
  </si>
  <si>
    <t>5.67</t>
  </si>
  <si>
    <t>6.14</t>
  </si>
  <si>
    <t>7.73</t>
  </si>
  <si>
    <t>4.65</t>
  </si>
  <si>
    <t>5.3</t>
  </si>
  <si>
    <t>5.12</t>
  </si>
  <si>
    <t>5.54</t>
  </si>
  <si>
    <t>6.98</t>
  </si>
  <si>
    <t>1.95</t>
  </si>
  <si>
    <t>2.23</t>
  </si>
  <si>
    <t>2.15</t>
  </si>
  <si>
    <t>2.93</t>
  </si>
  <si>
    <t>18.15</t>
  </si>
  <si>
    <t>20.68</t>
  </si>
  <si>
    <t>19.97</t>
  </si>
  <si>
    <t>21.62</t>
  </si>
  <si>
    <t>27.23</t>
  </si>
  <si>
    <t>9.65</t>
  </si>
  <si>
    <t>10.62</t>
  </si>
  <si>
    <t>11.5</t>
  </si>
  <si>
    <t>14.48</t>
  </si>
  <si>
    <t>2.45</t>
  </si>
  <si>
    <t>2.37</t>
  </si>
  <si>
    <t>2.57</t>
  </si>
  <si>
    <t>3.23</t>
  </si>
  <si>
    <t>14.15</t>
  </si>
  <si>
    <t>16.13</t>
  </si>
  <si>
    <t>15.57</t>
  </si>
  <si>
    <t>16.86</t>
  </si>
  <si>
    <t>21.23</t>
  </si>
  <si>
    <t>6.15</t>
  </si>
  <si>
    <t>7.01</t>
  </si>
  <si>
    <t>6.77</t>
  </si>
  <si>
    <t>7.33</t>
  </si>
  <si>
    <t>9.23</t>
  </si>
  <si>
    <t>3.35</t>
  </si>
  <si>
    <t>3.82</t>
  </si>
  <si>
    <t>3.69</t>
  </si>
  <si>
    <t>5.03</t>
  </si>
  <si>
    <t>6.35</t>
  </si>
  <si>
    <t>7.24</t>
  </si>
  <si>
    <t>6.99</t>
  </si>
  <si>
    <t>7.57</t>
  </si>
  <si>
    <t>9.53</t>
  </si>
  <si>
    <t>11.4</t>
  </si>
  <si>
    <t>11.92</t>
  </si>
  <si>
    <t>68.36</t>
  </si>
  <si>
    <t>71.47</t>
  </si>
  <si>
    <t>19.2</t>
  </si>
  <si>
    <t>22.79</t>
  </si>
  <si>
    <t>21.12</t>
  </si>
  <si>
    <t>23.83</t>
  </si>
  <si>
    <t>28.8</t>
  </si>
  <si>
    <t>8.82</t>
  </si>
  <si>
    <t>8.18</t>
  </si>
  <si>
    <t>9.22</t>
  </si>
  <si>
    <t>9.72</t>
  </si>
  <si>
    <t>10.52</t>
  </si>
  <si>
    <t>13.25</t>
  </si>
  <si>
    <t>12.43</t>
  </si>
  <si>
    <t>12.99</t>
  </si>
  <si>
    <t>16.36</t>
  </si>
  <si>
    <t>14.1</t>
  </si>
  <si>
    <t>13.62</t>
  </si>
  <si>
    <t>14.74</t>
  </si>
  <si>
    <t>18.57</t>
  </si>
  <si>
    <t>18.74</t>
  </si>
  <si>
    <t>18.09</t>
  </si>
  <si>
    <t>19.59</t>
  </si>
  <si>
    <t>24.67</t>
  </si>
  <si>
    <t>13.22</t>
  </si>
  <si>
    <t>12.77</t>
  </si>
  <si>
    <t>13.83</t>
  </si>
  <si>
    <t>17.41</t>
  </si>
  <si>
    <t>14.52</t>
  </si>
  <si>
    <t>14.02</t>
  </si>
  <si>
    <t>15.18</t>
  </si>
  <si>
    <t>19.12</t>
  </si>
  <si>
    <t>18.78</t>
  </si>
  <si>
    <t>18.13</t>
  </si>
  <si>
    <t>19.63</t>
  </si>
  <si>
    <t>24.72</t>
  </si>
  <si>
    <t>21.82</t>
  </si>
  <si>
    <t>21.07</t>
  </si>
  <si>
    <t>22.81</t>
  </si>
  <si>
    <t>28.73</t>
  </si>
  <si>
    <t>7.21</t>
  </si>
  <si>
    <t>6.68</t>
  </si>
  <si>
    <t>7.54</t>
  </si>
  <si>
    <t>9.11</t>
  </si>
  <si>
    <t>9.39</t>
  </si>
  <si>
    <t>8.7</t>
  </si>
  <si>
    <t>9.81</t>
  </si>
  <si>
    <t>11.86</t>
  </si>
  <si>
    <t>27.6</t>
  </si>
  <si>
    <t>31.45</t>
  </si>
  <si>
    <t>29.15</t>
  </si>
  <si>
    <t>32.88</t>
  </si>
  <si>
    <t>39.75</t>
  </si>
  <si>
    <t>38.74</t>
  </si>
  <si>
    <t>36.3</t>
  </si>
  <si>
    <t>40.5</t>
  </si>
  <si>
    <t>49.5</t>
  </si>
  <si>
    <t>42.16</t>
  </si>
  <si>
    <t>44.07</t>
  </si>
  <si>
    <t>44.44</t>
  </si>
  <si>
    <t>46.46</t>
  </si>
  <si>
    <t>42.55</t>
  </si>
  <si>
    <t>48.48</t>
  </si>
  <si>
    <t>44.94</t>
  </si>
  <si>
    <t>50.69</t>
  </si>
  <si>
    <t>61.28</t>
  </si>
  <si>
    <t>26.2</t>
  </si>
  <si>
    <t>24.89</t>
  </si>
  <si>
    <t>29.85</t>
  </si>
  <si>
    <t>27.38</t>
  </si>
  <si>
    <t>31.21</t>
  </si>
  <si>
    <t>37.34</t>
  </si>
  <si>
    <t>61.75</t>
  </si>
  <si>
    <t>74.06</t>
  </si>
  <si>
    <t>67.93</t>
  </si>
  <si>
    <t>77.42</t>
  </si>
  <si>
    <t>92.63</t>
  </si>
  <si>
    <t>0.12</t>
  </si>
  <si>
    <t>0.14</t>
  </si>
  <si>
    <t>0.3</t>
  </si>
  <si>
    <t>0.35</t>
  </si>
  <si>
    <t>0.33</t>
  </si>
  <si>
    <t>0.36</t>
  </si>
  <si>
    <t>0.45</t>
  </si>
  <si>
    <t>1.2</t>
  </si>
  <si>
    <t>1.43</t>
  </si>
  <si>
    <t>1.8</t>
  </si>
  <si>
    <t>0.5</t>
  </si>
  <si>
    <t>0.57</t>
  </si>
  <si>
    <t>0.55</t>
  </si>
  <si>
    <t>0.6</t>
  </si>
  <si>
    <t>0.4</t>
  </si>
  <si>
    <t>0.46</t>
  </si>
  <si>
    <t>0.44</t>
  </si>
  <si>
    <t>0.48</t>
  </si>
  <si>
    <t>1.6</t>
  </si>
  <si>
    <t>1.83</t>
  </si>
  <si>
    <t>1.76</t>
  </si>
  <si>
    <t>1.91</t>
  </si>
  <si>
    <t>2.4</t>
  </si>
  <si>
    <t>0.1</t>
  </si>
  <si>
    <t>0.11</t>
  </si>
  <si>
    <t>13.39</t>
  </si>
  <si>
    <t>15.26</t>
  </si>
  <si>
    <t>14.3</t>
  </si>
  <si>
    <t>15.95</t>
  </si>
  <si>
    <t>19.5</t>
  </si>
  <si>
    <t>17.51</t>
  </si>
  <si>
    <t>19.95</t>
  </si>
  <si>
    <t>18.7</t>
  </si>
  <si>
    <t>20.86</t>
  </si>
  <si>
    <t>25.5</t>
  </si>
  <si>
    <t>19.57</t>
  </si>
  <si>
    <t>22.3</t>
  </si>
  <si>
    <t>20.9</t>
  </si>
  <si>
    <t>23.31</t>
  </si>
  <si>
    <t>28.5</t>
  </si>
  <si>
    <t>28.17</t>
  </si>
  <si>
    <t>29.45</t>
  </si>
  <si>
    <t>26.78</t>
  </si>
  <si>
    <t>30.52</t>
  </si>
  <si>
    <t>28.6</t>
  </si>
  <si>
    <t>31.9</t>
  </si>
  <si>
    <t>33.99</t>
  </si>
  <si>
    <t>38.73</t>
  </si>
  <si>
    <t>40.49</t>
  </si>
  <si>
    <t>38.11</t>
  </si>
  <si>
    <t>43.42</t>
  </si>
  <si>
    <t>40.7</t>
  </si>
  <si>
    <t>45.4</t>
  </si>
  <si>
    <t>55.5</t>
  </si>
  <si>
    <t>46.35</t>
  </si>
  <si>
    <t>52.81</t>
  </si>
  <si>
    <t>55.21</t>
  </si>
  <si>
    <t>67.5</t>
  </si>
  <si>
    <t>2.06</t>
  </si>
  <si>
    <t>1.98</t>
  </si>
  <si>
    <t>2.7</t>
  </si>
  <si>
    <t>1.5</t>
  </si>
  <si>
    <t>1.65</t>
  </si>
  <si>
    <t>1.79</t>
  </si>
  <si>
    <t>2.25</t>
  </si>
  <si>
    <t>2.5</t>
  </si>
  <si>
    <t>2.85</t>
  </si>
  <si>
    <t>2.75</t>
  </si>
  <si>
    <t>2.98</t>
  </si>
  <si>
    <t>3.75</t>
  </si>
  <si>
    <t>9.8</t>
  </si>
  <si>
    <t>11.17</t>
  </si>
  <si>
    <t>10.78</t>
  </si>
  <si>
    <t>11.68</t>
  </si>
  <si>
    <t>14.7</t>
  </si>
  <si>
    <t>15.05</t>
  </si>
  <si>
    <t>17.15</t>
  </si>
  <si>
    <t>16.56</t>
  </si>
  <si>
    <t>17.93</t>
  </si>
  <si>
    <t>22.58</t>
  </si>
  <si>
    <t>18.5</t>
  </si>
  <si>
    <t>21.08</t>
  </si>
  <si>
    <t>20.35</t>
  </si>
  <si>
    <t>22.04</t>
  </si>
  <si>
    <t>27.75</t>
  </si>
  <si>
    <t>22.14</t>
  </si>
  <si>
    <t>25.23</t>
  </si>
  <si>
    <t>24.36</t>
  </si>
  <si>
    <t>26.38</t>
  </si>
  <si>
    <t>33.21</t>
  </si>
  <si>
    <t>27.42</t>
  </si>
  <si>
    <t>31.24</t>
  </si>
  <si>
    <t>30.17</t>
  </si>
  <si>
    <t>32.66</t>
  </si>
  <si>
    <t>41.13</t>
  </si>
  <si>
    <t>39.58</t>
  </si>
  <si>
    <t>45.1</t>
  </si>
  <si>
    <t>43.54</t>
  </si>
  <si>
    <t>47.15</t>
  </si>
  <si>
    <t>59.37</t>
  </si>
  <si>
    <t>3.63</t>
  </si>
  <si>
    <t>4.56</t>
  </si>
  <si>
    <t>21.2</t>
  </si>
  <si>
    <t>24.16</t>
  </si>
  <si>
    <t>25.26</t>
  </si>
  <si>
    <t>12.72</t>
  </si>
  <si>
    <t>14.5</t>
  </si>
  <si>
    <t>15.16</t>
  </si>
  <si>
    <t>13.2</t>
  </si>
  <si>
    <t>6.36</t>
  </si>
  <si>
    <t>7.25</t>
  </si>
  <si>
    <t>6.6</t>
  </si>
  <si>
    <t>7.58</t>
  </si>
  <si>
    <t>4.4</t>
  </si>
  <si>
    <t>4.77</t>
  </si>
  <si>
    <t>3.2</t>
  </si>
  <si>
    <t>4.29</t>
  </si>
  <si>
    <t>12.31</t>
  </si>
  <si>
    <t>10.69</t>
  </si>
  <si>
    <t>12.86</t>
  </si>
  <si>
    <t>14.58</t>
  </si>
  <si>
    <t>14.77</t>
  </si>
  <si>
    <t>12.83</t>
  </si>
  <si>
    <t>15.44</t>
  </si>
  <si>
    <t>17.5</t>
  </si>
  <si>
    <t>1.94</t>
  </si>
  <si>
    <t>1.87</t>
  </si>
  <si>
    <t>2.03</t>
  </si>
  <si>
    <t>5.6</t>
  </si>
  <si>
    <t>6.38</t>
  </si>
  <si>
    <t>6.16</t>
  </si>
  <si>
    <t>6.67</t>
  </si>
  <si>
    <t>8.4</t>
  </si>
  <si>
    <t>9.54</t>
  </si>
  <si>
    <t>10.87</t>
  </si>
  <si>
    <t>9.9</t>
  </si>
  <si>
    <t>11.37</t>
  </si>
  <si>
    <t>13.5</t>
  </si>
  <si>
    <t>2.28</t>
  </si>
  <si>
    <t>2.39</t>
  </si>
  <si>
    <t>13.68</t>
  </si>
  <si>
    <t>1.14</t>
  </si>
  <si>
    <t>1.1</t>
  </si>
  <si>
    <t>31.8</t>
  </si>
  <si>
    <t>36.23</t>
  </si>
  <si>
    <t>37.88</t>
  </si>
  <si>
    <t>15.9</t>
  </si>
  <si>
    <t>18.12</t>
  </si>
  <si>
    <t>16.5</t>
  </si>
  <si>
    <t>18.94</t>
  </si>
  <si>
    <t>22.5</t>
  </si>
  <si>
    <t>14.84</t>
  </si>
  <si>
    <t>16.91</t>
  </si>
  <si>
    <t>15.4</t>
  </si>
  <si>
    <t>17.68</t>
  </si>
  <si>
    <t>7.42</t>
  </si>
  <si>
    <t>8.46</t>
  </si>
  <si>
    <t>7.7</t>
  </si>
  <si>
    <t>8.84</t>
  </si>
  <si>
    <t>10.5</t>
  </si>
  <si>
    <t>42.6</t>
  </si>
  <si>
    <t>48.54</t>
  </si>
  <si>
    <t>46.86</t>
  </si>
  <si>
    <t>50.74</t>
  </si>
  <si>
    <t>63.9</t>
  </si>
  <si>
    <t>55.9</t>
  </si>
  <si>
    <t>63.69</t>
  </si>
  <si>
    <t>61.49</t>
  </si>
  <si>
    <t>66.59</t>
  </si>
  <si>
    <t>83.85</t>
  </si>
  <si>
    <t>59.8</t>
  </si>
  <si>
    <t>68.13</t>
  </si>
  <si>
    <t>65.78</t>
  </si>
  <si>
    <t>71.23</t>
  </si>
  <si>
    <t>89.7</t>
  </si>
  <si>
    <t>31.2</t>
  </si>
  <si>
    <t>35.55</t>
  </si>
  <si>
    <t>34.32</t>
  </si>
  <si>
    <t>37.17</t>
  </si>
  <si>
    <t>46.8</t>
  </si>
  <si>
    <t>14.4</t>
  </si>
  <si>
    <t>16.41</t>
  </si>
  <si>
    <t>15.84</t>
  </si>
  <si>
    <t>17.16</t>
  </si>
  <si>
    <t>21.6</t>
  </si>
  <si>
    <t>4.28</t>
  </si>
  <si>
    <t>4.13</t>
  </si>
  <si>
    <t>4.47</t>
  </si>
  <si>
    <t>5.63</t>
  </si>
  <si>
    <t>22.22</t>
  </si>
  <si>
    <t>21.45</t>
  </si>
  <si>
    <t>23.23</t>
  </si>
  <si>
    <t>29.25</t>
  </si>
  <si>
    <t>78.62</t>
  </si>
  <si>
    <t>75.9</t>
  </si>
  <si>
    <t>82.19</t>
  </si>
  <si>
    <t>103.5</t>
  </si>
  <si>
    <t>28.2</t>
  </si>
  <si>
    <t>29.48</t>
  </si>
  <si>
    <t>37.13</t>
  </si>
  <si>
    <t>32.63</t>
  </si>
  <si>
    <t>34.11</t>
  </si>
  <si>
    <t>42.96</t>
  </si>
  <si>
    <t>46.73</t>
  </si>
  <si>
    <t>45.11</t>
  </si>
  <si>
    <t>48.85</t>
  </si>
  <si>
    <t>61.52</t>
  </si>
  <si>
    <t>7.28</t>
  </si>
  <si>
    <t>7.03</t>
  </si>
  <si>
    <t>7.61</t>
  </si>
  <si>
    <t>9.58</t>
  </si>
  <si>
    <t>2.46</t>
  </si>
  <si>
    <t>5.93</t>
  </si>
  <si>
    <t>7.47</t>
  </si>
  <si>
    <t>3.4</t>
  </si>
  <si>
    <t>4.64</t>
  </si>
  <si>
    <t>18.23</t>
  </si>
  <si>
    <t>19.06</t>
  </si>
  <si>
    <t>6.27</t>
  </si>
  <si>
    <t>6.05</t>
  </si>
  <si>
    <t>6.56</t>
  </si>
  <si>
    <t>8.25</t>
  </si>
  <si>
    <t>39.88</t>
  </si>
  <si>
    <t>38.5</t>
  </si>
  <si>
    <t>41.69</t>
  </si>
  <si>
    <t>52.5</t>
  </si>
  <si>
    <t>0.79</t>
  </si>
  <si>
    <t>8.03</t>
  </si>
  <si>
    <t>7.71</t>
  </si>
  <si>
    <t>4.83</t>
  </si>
  <si>
    <t>5.24</t>
  </si>
  <si>
    <t>7.29</t>
  </si>
  <si>
    <t>9.48</t>
  </si>
  <si>
    <t>8.63</t>
  </si>
  <si>
    <t>5.18</t>
  </si>
  <si>
    <t>7.74</t>
  </si>
  <si>
    <t>7.43</t>
  </si>
  <si>
    <t>10.91</t>
  </si>
  <si>
    <t>12.38</t>
  </si>
  <si>
    <t>16.45</t>
  </si>
  <si>
    <t>11.61</t>
  </si>
  <si>
    <t>12.75</t>
  </si>
  <si>
    <t>16.48</t>
  </si>
  <si>
    <t>19.15</t>
  </si>
  <si>
    <t>6.33</t>
  </si>
  <si>
    <t>6.08</t>
  </si>
  <si>
    <t>8.24</t>
  </si>
  <si>
    <t>7.91</t>
  </si>
  <si>
    <t>26.5</t>
  </si>
  <si>
    <t>40.85</t>
  </si>
  <si>
    <t>2.86</t>
  </si>
  <si>
    <t>12.96</t>
  </si>
  <si>
    <t>11.67</t>
  </si>
  <si>
    <t>24.75</t>
  </si>
  <si>
    <t>28.64</t>
  </si>
  <si>
    <t>41.01</t>
  </si>
  <si>
    <t>6.39</t>
  </si>
  <si>
    <t>2.16</t>
  </si>
  <si>
    <t>4.98</t>
  </si>
  <si>
    <t>3.09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</si>
</sst>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sz val="10"/>
      <name val="Arial"/>
      <family val="2"/>
    </font>
    <font>
      <sz val="10"/>
      <name val="Rockwell"/>
      <family val="1"/>
    </font>
    <font>
      <b/>
      <sz val="14"/>
      <name val="Rockwell"/>
      <family val="1"/>
    </font>
    <font>
      <b/>
      <sz val="10"/>
      <name val="Rockwell"/>
      <family val="1"/>
    </font>
    <font>
      <sz val="10"/>
      <name val="Arial"/>
    </font>
    <font>
      <b/>
      <sz val="12"/>
      <name val="Rockwell"/>
      <family val="1"/>
    </font>
    <font>
      <b/>
      <sz val="10"/>
      <color rgb="FFFF0000"/>
      <name val="Rockwell"/>
      <family val="1"/>
    </font>
    <font>
      <b/>
      <sz val="16"/>
      <name val="Rockwell"/>
      <family val="1"/>
    </font>
    <font>
      <sz val="8"/>
      <name val="Arial"/>
    </font>
    <font>
      <b/>
      <sz val="12"/>
      <name val="Consolas"/>
      <family val="3"/>
    </font>
    <font>
      <u/>
      <sz val="10"/>
      <name val="Rockwell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1" fillId="0" borderId="0"/>
  </cellStyleXfs>
  <cellXfs count="67">
    <xf numFmtId="0" fontId="0" fillId="0" borderId="0" xfId="0"/>
    <xf numFmtId="0" fontId="2" fillId="0" borderId="0" xfId="2" applyFont="1"/>
    <xf numFmtId="0" fontId="3" fillId="0" borderId="0" xfId="2" applyFont="1"/>
    <xf numFmtId="0" fontId="2" fillId="0" borderId="0" xfId="2" applyFont="1" applyAlignment="1">
      <alignment horizontal="center"/>
    </xf>
    <xf numFmtId="0" fontId="4" fillId="0" borderId="0" xfId="2" applyFont="1"/>
    <xf numFmtId="0" fontId="2" fillId="0" borderId="0" xfId="2" applyFont="1" applyAlignment="1">
      <alignment horizontal="justify"/>
    </xf>
    <xf numFmtId="10" fontId="6" fillId="0" borderId="0" xfId="1" applyNumberFormat="1" applyFont="1"/>
    <xf numFmtId="0" fontId="4" fillId="0" borderId="3" xfId="2" applyFont="1" applyBorder="1" applyAlignment="1">
      <alignment horizontal="center"/>
    </xf>
    <xf numFmtId="0" fontId="4" fillId="0" borderId="5" xfId="2" applyFont="1" applyBorder="1" applyAlignment="1">
      <alignment horizontal="center"/>
    </xf>
    <xf numFmtId="0" fontId="4" fillId="0" borderId="6" xfId="2" applyFont="1" applyBorder="1" applyAlignment="1">
      <alignment horizontal="center"/>
    </xf>
    <xf numFmtId="0" fontId="2" fillId="0" borderId="3" xfId="2" applyFont="1" applyBorder="1"/>
    <xf numFmtId="0" fontId="4" fillId="0" borderId="3" xfId="2" applyFont="1" applyBorder="1" applyAlignment="1">
      <alignment horizontal="center" vertical="center"/>
    </xf>
    <xf numFmtId="0" fontId="4" fillId="2" borderId="3" xfId="2" applyFont="1" applyFill="1" applyBorder="1" applyAlignment="1">
      <alignment horizontal="left"/>
    </xf>
    <xf numFmtId="2" fontId="2" fillId="2" borderId="3" xfId="2" applyNumberFormat="1" applyFont="1" applyFill="1" applyBorder="1"/>
    <xf numFmtId="0" fontId="2" fillId="2" borderId="3" xfId="2" applyFont="1" applyFill="1" applyBorder="1" applyAlignment="1">
      <alignment horizontal="justify"/>
    </xf>
    <xf numFmtId="10" fontId="6" fillId="2" borderId="0" xfId="1" applyNumberFormat="1" applyFont="1" applyFill="1"/>
    <xf numFmtId="0" fontId="4" fillId="0" borderId="3" xfId="2" applyFont="1" applyBorder="1" applyAlignment="1">
      <alignment horizontal="left"/>
    </xf>
    <xf numFmtId="0" fontId="2" fillId="0" borderId="3" xfId="2" applyFont="1" applyBorder="1" applyAlignment="1">
      <alignment horizontal="justify"/>
    </xf>
    <xf numFmtId="2" fontId="2" fillId="0" borderId="0" xfId="2" applyNumberFormat="1" applyFont="1"/>
    <xf numFmtId="2" fontId="2" fillId="0" borderId="3" xfId="2" applyNumberFormat="1" applyFont="1" applyBorder="1"/>
    <xf numFmtId="0" fontId="2" fillId="0" borderId="0" xfId="0" applyFont="1"/>
    <xf numFmtId="2" fontId="2" fillId="0" borderId="3" xfId="0" applyNumberFormat="1" applyFont="1" applyBorder="1"/>
    <xf numFmtId="0" fontId="7" fillId="2" borderId="3" xfId="2" applyFont="1" applyFill="1" applyBorder="1" applyAlignment="1">
      <alignment horizontal="left" vertical="center"/>
    </xf>
    <xf numFmtId="0" fontId="2" fillId="3" borderId="3" xfId="2" applyFont="1" applyFill="1" applyBorder="1" applyAlignment="1">
      <alignment horizontal="justify"/>
    </xf>
    <xf numFmtId="0" fontId="2" fillId="4" borderId="3" xfId="2" applyFont="1" applyFill="1" applyBorder="1" applyAlignment="1">
      <alignment horizontal="justify"/>
    </xf>
    <xf numFmtId="0" fontId="4" fillId="0" borderId="3" xfId="2" applyFont="1" applyBorder="1"/>
    <xf numFmtId="0" fontId="1" fillId="0" borderId="0" xfId="2"/>
    <xf numFmtId="0" fontId="4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justify"/>
    </xf>
    <xf numFmtId="0" fontId="10" fillId="0" borderId="0" xfId="0" applyFont="1" applyAlignment="1">
      <alignment vertical="center"/>
    </xf>
    <xf numFmtId="0" fontId="4" fillId="0" borderId="6" xfId="2" applyFont="1" applyBorder="1" applyAlignment="1">
      <alignment horizontal="justify"/>
    </xf>
    <xf numFmtId="0" fontId="2" fillId="0" borderId="1" xfId="2" applyFont="1" applyBorder="1"/>
    <xf numFmtId="0" fontId="2" fillId="0" borderId="4" xfId="2" applyFont="1" applyBorder="1"/>
    <xf numFmtId="0" fontId="4" fillId="0" borderId="4" xfId="2" applyFont="1" applyBorder="1" applyAlignment="1">
      <alignment horizontal="left"/>
    </xf>
    <xf numFmtId="0" fontId="2" fillId="2" borderId="3" xfId="2" applyFont="1" applyFill="1" applyBorder="1" applyAlignment="1">
      <alignment horizontal="center"/>
    </xf>
    <xf numFmtId="2" fontId="6" fillId="2" borderId="3" xfId="2" applyNumberFormat="1" applyFont="1" applyFill="1" applyBorder="1"/>
    <xf numFmtId="0" fontId="2" fillId="0" borderId="3" xfId="2" applyFont="1" applyBorder="1" applyAlignment="1">
      <alignment horizontal="center"/>
    </xf>
    <xf numFmtId="2" fontId="6" fillId="0" borderId="3" xfId="2" applyNumberFormat="1" applyFont="1" applyBorder="1"/>
    <xf numFmtId="0" fontId="8" fillId="0" borderId="3" xfId="2" applyFont="1" applyBorder="1" applyAlignment="1">
      <alignment horizontal="left"/>
    </xf>
    <xf numFmtId="2" fontId="4" fillId="0" borderId="3" xfId="2" applyNumberFormat="1" applyFont="1" applyBorder="1" applyAlignment="1">
      <alignment horizontal="center"/>
    </xf>
    <xf numFmtId="0" fontId="4" fillId="0" borderId="3" xfId="2" applyFont="1" applyBorder="1" applyAlignment="1">
      <alignment horizontal="justify"/>
    </xf>
    <xf numFmtId="2" fontId="2" fillId="2" borderId="3" xfId="0" applyNumberFormat="1" applyFont="1" applyFill="1" applyBorder="1"/>
    <xf numFmtId="0" fontId="4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4" fillId="5" borderId="3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4" fillId="7" borderId="1" xfId="2" applyFont="1" applyFill="1" applyBorder="1" applyAlignment="1">
      <alignment horizontal="center" vertical="center"/>
    </xf>
    <xf numFmtId="0" fontId="4" fillId="7" borderId="2" xfId="2" applyFont="1" applyFill="1" applyBorder="1" applyAlignment="1">
      <alignment horizontal="center" vertical="center"/>
    </xf>
    <xf numFmtId="0" fontId="4" fillId="7" borderId="3" xfId="2" applyFont="1" applyFill="1" applyBorder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4" fillId="7" borderId="5" xfId="2" applyFont="1" applyFill="1" applyBorder="1" applyAlignment="1">
      <alignment horizontal="center" vertical="center"/>
    </xf>
    <xf numFmtId="0" fontId="4" fillId="7" borderId="7" xfId="2" applyFont="1" applyFill="1" applyBorder="1" applyAlignment="1">
      <alignment horizontal="center" vertical="center"/>
    </xf>
    <xf numFmtId="0" fontId="4" fillId="7" borderId="8" xfId="2" applyFont="1" applyFill="1" applyBorder="1" applyAlignment="1">
      <alignment horizontal="center" vertical="center"/>
    </xf>
    <xf numFmtId="0" fontId="4" fillId="7" borderId="10" xfId="2" applyFont="1" applyFill="1" applyBorder="1" applyAlignment="1">
      <alignment horizontal="center" vertical="center"/>
    </xf>
    <xf numFmtId="0" fontId="4" fillId="7" borderId="6" xfId="2" applyFont="1" applyFill="1" applyBorder="1" applyAlignment="1">
      <alignment horizontal="center" vertical="center"/>
    </xf>
    <xf numFmtId="0" fontId="4" fillId="7" borderId="9" xfId="2" applyFont="1" applyFill="1" applyBorder="1" applyAlignment="1">
      <alignment horizontal="center" vertical="center"/>
    </xf>
    <xf numFmtId="0" fontId="4" fillId="8" borderId="3" xfId="2" applyFont="1" applyFill="1" applyBorder="1" applyAlignment="1">
      <alignment horizontal="center" vertical="center"/>
    </xf>
    <xf numFmtId="0" fontId="3" fillId="8" borderId="3" xfId="2" applyFont="1" applyFill="1" applyBorder="1" applyAlignment="1">
      <alignment horizontal="center" vertical="center"/>
    </xf>
    <xf numFmtId="2" fontId="11" fillId="0" borderId="0" xfId="2" applyNumberFormat="1" applyFont="1"/>
    <xf numFmtId="0" fontId="2" fillId="2" borderId="3" xfId="2" applyNumberFormat="1" applyFont="1" applyFill="1" applyBorder="1"/>
    <xf numFmtId="0" fontId="6" fillId="2" borderId="3" xfId="2" applyNumberFormat="1" applyFont="1" applyFill="1" applyBorder="1"/>
    <xf numFmtId="0" fontId="2" fillId="0" borderId="3" xfId="2" applyNumberFormat="1" applyFont="1" applyBorder="1"/>
    <xf numFmtId="0" fontId="6" fillId="0" borderId="3" xfId="2" applyNumberFormat="1" applyFont="1" applyBorder="1"/>
    <xf numFmtId="0" fontId="4" fillId="0" borderId="3" xfId="2" applyNumberFormat="1" applyFont="1" applyBorder="1" applyAlignment="1">
      <alignment horizontal="center"/>
    </xf>
    <xf numFmtId="0" fontId="2" fillId="2" borderId="3" xfId="0" applyNumberFormat="1" applyFont="1" applyFill="1" applyBorder="1"/>
    <xf numFmtId="0" fontId="2" fillId="0" borderId="3" xfId="0" applyNumberFormat="1" applyFont="1" applyBorder="1"/>
  </cellXfs>
  <cellStyles count="3">
    <cellStyle name="Normal" xfId="0" builtinId="0"/>
    <cellStyle name="Normal 2" xfId="2" xr:uid="{40589876-2E44-4EF8-8287-3CC8585D9B3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500743</xdr:colOff>
      <xdr:row>0</xdr:row>
      <xdr:rowOff>54429</xdr:rowOff>
    </xdr:from>
    <xdr:to>
      <xdr:col>22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D70E483-CD68-4FC6-A3E7-730E56BA2DDF}"/>
            </a:ext>
          </a:extLst>
        </xdr:cNvPr>
        <xdr:cNvSpPr txBox="1"/>
      </xdr:nvSpPr>
      <xdr:spPr>
        <a:xfrm>
          <a:off x="10924903" y="54429"/>
          <a:ext cx="8600802" cy="80336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500743</xdr:colOff>
      <xdr:row>0</xdr:row>
      <xdr:rowOff>54429</xdr:rowOff>
    </xdr:from>
    <xdr:to>
      <xdr:col>22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1D675133-B520-4889-B791-51A38D642DC5}"/>
            </a:ext>
          </a:extLst>
        </xdr:cNvPr>
        <xdr:cNvSpPr txBox="1"/>
      </xdr:nvSpPr>
      <xdr:spPr>
        <a:xfrm>
          <a:off x="16533223" y="54429"/>
          <a:ext cx="8997042" cy="94052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93356-79CE-4C8B-B9F6-F910C3837076}">
  <dimension ref="A1:M208"/>
  <sheetViews>
    <sheetView zoomScale="70" zoomScaleNormal="70" workbookViewId="0">
      <selection activeCell="K9" sqref="K9"/>
    </sheetView>
  </sheetViews>
  <sheetFormatPr baseColWidth="10" defaultRowHeight="15.6" x14ac:dyDescent="0.3"/>
  <cols>
    <col min="1" max="2" width="9.6640625" bestFit="1" customWidth="1"/>
    <col min="3" max="3" width="57.6640625" style="27" customWidth="1"/>
    <col min="4" max="4" width="8.5546875" style="28" bestFit="1" customWidth="1"/>
    <col min="5" max="6" width="11.44140625" style="20" bestFit="1" customWidth="1"/>
    <col min="7" max="10" width="11.6640625" style="27" bestFit="1" customWidth="1"/>
    <col min="11" max="11" width="78.6640625" style="29" customWidth="1"/>
    <col min="12" max="12" width="9.77734375" style="6" bestFit="1" customWidth="1"/>
    <col min="13" max="13" width="11.44140625" customWidth="1"/>
    <col min="17" max="17" width="16.88671875" bestFit="1" customWidth="1"/>
  </cols>
  <sheetData>
    <row r="1" spans="1:13" s="1" customFormat="1" ht="18" x14ac:dyDescent="0.35">
      <c r="C1" s="2" t="s">
        <v>0</v>
      </c>
      <c r="D1" s="3"/>
      <c r="G1" s="4"/>
      <c r="H1" s="4"/>
      <c r="I1" s="4"/>
      <c r="J1" s="4"/>
      <c r="K1" s="5"/>
      <c r="L1" s="6"/>
    </row>
    <row r="2" spans="1:13" s="1" customFormat="1" ht="18" x14ac:dyDescent="0.3">
      <c r="A2" s="57">
        <v>0</v>
      </c>
      <c r="B2" s="57">
        <v>1</v>
      </c>
      <c r="C2" s="58">
        <v>2</v>
      </c>
      <c r="D2" s="57">
        <v>3</v>
      </c>
      <c r="E2" s="57">
        <v>4</v>
      </c>
      <c r="F2" s="57">
        <v>5</v>
      </c>
      <c r="G2" s="57">
        <v>6</v>
      </c>
      <c r="H2" s="57">
        <v>7</v>
      </c>
      <c r="I2" s="57">
        <v>8</v>
      </c>
      <c r="J2" s="57">
        <v>9</v>
      </c>
      <c r="K2" s="57">
        <v>10</v>
      </c>
      <c r="L2" s="6"/>
    </row>
    <row r="3" spans="1:13" s="1" customFormat="1" x14ac:dyDescent="0.3">
      <c r="A3" s="47" t="s">
        <v>1</v>
      </c>
      <c r="B3" s="47" t="s">
        <v>1</v>
      </c>
      <c r="C3" s="47" t="s">
        <v>2</v>
      </c>
      <c r="D3" s="48" t="s">
        <v>3</v>
      </c>
      <c r="E3" s="49" t="s">
        <v>4</v>
      </c>
      <c r="F3" s="49"/>
      <c r="G3" s="48" t="s">
        <v>501</v>
      </c>
      <c r="H3" s="48" t="s">
        <v>501</v>
      </c>
      <c r="I3" s="48" t="s">
        <v>502</v>
      </c>
      <c r="J3" s="48" t="s">
        <v>502</v>
      </c>
      <c r="K3" s="54" t="s">
        <v>326</v>
      </c>
      <c r="L3" s="6"/>
    </row>
    <row r="4" spans="1:13" s="1" customFormat="1" x14ac:dyDescent="0.3">
      <c r="A4" s="50"/>
      <c r="B4" s="50" t="s">
        <v>325</v>
      </c>
      <c r="C4" s="50"/>
      <c r="D4" s="51"/>
      <c r="E4" s="50" t="s">
        <v>6</v>
      </c>
      <c r="F4" s="50" t="s">
        <v>324</v>
      </c>
      <c r="G4" s="51" t="s">
        <v>5</v>
      </c>
      <c r="H4" s="50" t="s">
        <v>212</v>
      </c>
      <c r="I4" s="51" t="s">
        <v>5</v>
      </c>
      <c r="J4" s="50" t="s">
        <v>212</v>
      </c>
      <c r="K4" s="55"/>
      <c r="L4" s="6"/>
    </row>
    <row r="5" spans="1:13" s="1" customFormat="1" x14ac:dyDescent="0.3">
      <c r="A5" s="52"/>
      <c r="B5" s="52"/>
      <c r="C5" s="52"/>
      <c r="D5" s="53"/>
      <c r="E5" s="52" t="s">
        <v>7</v>
      </c>
      <c r="F5" s="52" t="s">
        <v>7</v>
      </c>
      <c r="G5" s="53" t="s">
        <v>7</v>
      </c>
      <c r="H5" s="52" t="s">
        <v>7</v>
      </c>
      <c r="I5" s="53" t="s">
        <v>7</v>
      </c>
      <c r="J5" s="52" t="s">
        <v>7</v>
      </c>
      <c r="K5" s="56"/>
      <c r="L5" s="6"/>
    </row>
    <row r="6" spans="1:13" s="1" customFormat="1" x14ac:dyDescent="0.3">
      <c r="A6" s="32"/>
      <c r="B6" s="33"/>
      <c r="C6" s="34" t="s">
        <v>8</v>
      </c>
      <c r="D6" s="8"/>
      <c r="E6" s="9"/>
      <c r="F6" s="8"/>
      <c r="G6" s="7"/>
      <c r="H6" s="7"/>
      <c r="I6" s="7"/>
      <c r="J6" s="7"/>
      <c r="K6" s="31"/>
      <c r="L6" s="6"/>
      <c r="M6" s="30" t="s">
        <v>223</v>
      </c>
    </row>
    <row r="7" spans="1:13" s="1" customFormat="1" x14ac:dyDescent="0.3">
      <c r="A7" s="11" t="s">
        <v>9</v>
      </c>
      <c r="B7" s="11" t="s">
        <v>9</v>
      </c>
      <c r="C7" s="12" t="s">
        <v>327</v>
      </c>
      <c r="D7" s="35" t="s">
        <v>10</v>
      </c>
      <c r="E7" s="13">
        <v>2.9</v>
      </c>
      <c r="F7" s="13">
        <v>2.9</v>
      </c>
      <c r="G7" s="36">
        <f>ROUNDUP(E7*0.87*1.1/0.84,2)</f>
        <v>3.3099999999999996</v>
      </c>
      <c r="H7" s="36">
        <f>ROUNDUP(F7*1.1,2)</f>
        <v>3.19</v>
      </c>
      <c r="I7" s="36">
        <f>ROUNDUP(E7*0.87*1.15/0.84,2)</f>
        <v>3.46</v>
      </c>
      <c r="J7" s="36">
        <f>ROUNDUP(F7*1.5,2)</f>
        <v>4.3499999999999996</v>
      </c>
      <c r="K7" s="14" t="s">
        <v>224</v>
      </c>
      <c r="L7" s="15">
        <f>(-H7+G7)/G7</f>
        <v>3.6253776435045217E-2</v>
      </c>
      <c r="M7" s="1" t="s">
        <v>500</v>
      </c>
    </row>
    <row r="8" spans="1:13" s="1" customFormat="1" x14ac:dyDescent="0.3">
      <c r="A8" s="11" t="s">
        <v>11</v>
      </c>
      <c r="B8" s="11" t="s">
        <v>11</v>
      </c>
      <c r="C8" s="12" t="s">
        <v>328</v>
      </c>
      <c r="D8" s="35" t="s">
        <v>10</v>
      </c>
      <c r="E8" s="13">
        <v>6.24</v>
      </c>
      <c r="F8" s="13">
        <v>5.9904000000000002</v>
      </c>
      <c r="G8" s="36">
        <f t="shared" ref="G8:G22" si="0">ROUNDUP(E8*0.87*1.1/0.84,2)</f>
        <v>7.1099999999999994</v>
      </c>
      <c r="H8" s="36">
        <f t="shared" ref="H8:H22" si="1">ROUNDUP(F8*1.1,2)</f>
        <v>6.59</v>
      </c>
      <c r="I8" s="36">
        <f t="shared" ref="I8:I22" si="2">ROUNDUP(E8*0.87*1.15/0.84,2)</f>
        <v>7.4399999999999995</v>
      </c>
      <c r="J8" s="36">
        <f t="shared" ref="J8:J22" si="3">ROUNDUP(F8*1.5,2)</f>
        <v>8.99</v>
      </c>
      <c r="K8" s="14" t="s">
        <v>224</v>
      </c>
      <c r="L8" s="15">
        <f>(-H8+G8)/G8</f>
        <v>7.3136427566807258E-2</v>
      </c>
    </row>
    <row r="9" spans="1:13" s="1" customFormat="1" x14ac:dyDescent="0.3">
      <c r="A9" s="11" t="s">
        <v>12</v>
      </c>
      <c r="B9" s="11" t="s">
        <v>12</v>
      </c>
      <c r="C9" s="16" t="s">
        <v>329</v>
      </c>
      <c r="D9" s="37" t="s">
        <v>13</v>
      </c>
      <c r="E9" s="19">
        <v>0.65</v>
      </c>
      <c r="F9" s="19">
        <v>0.65</v>
      </c>
      <c r="G9" s="38">
        <f t="shared" si="0"/>
        <v>0.75</v>
      </c>
      <c r="H9" s="38">
        <f t="shared" si="1"/>
        <v>0.72</v>
      </c>
      <c r="I9" s="38">
        <f t="shared" si="2"/>
        <v>0.78</v>
      </c>
      <c r="J9" s="38">
        <f t="shared" si="3"/>
        <v>0.98</v>
      </c>
      <c r="K9" s="17" t="s">
        <v>225</v>
      </c>
      <c r="L9" s="6">
        <f>(-H9+G9)/G9</f>
        <v>4.0000000000000036E-2</v>
      </c>
    </row>
    <row r="10" spans="1:13" s="1" customFormat="1" x14ac:dyDescent="0.3">
      <c r="A10" s="11" t="s">
        <v>14</v>
      </c>
      <c r="B10" s="11" t="s">
        <v>14</v>
      </c>
      <c r="C10" s="12" t="s">
        <v>330</v>
      </c>
      <c r="D10" s="35" t="s">
        <v>15</v>
      </c>
      <c r="E10" s="13">
        <v>0.78583333333333316</v>
      </c>
      <c r="F10" s="13">
        <v>0.78583333333333316</v>
      </c>
      <c r="G10" s="36">
        <f t="shared" si="0"/>
        <v>0.9</v>
      </c>
      <c r="H10" s="36">
        <f t="shared" si="1"/>
        <v>0.87</v>
      </c>
      <c r="I10" s="36">
        <f t="shared" si="2"/>
        <v>0.94000000000000006</v>
      </c>
      <c r="J10" s="36">
        <f t="shared" si="3"/>
        <v>1.18</v>
      </c>
      <c r="K10" s="14" t="s">
        <v>226</v>
      </c>
      <c r="L10" s="15">
        <f>(-H10+G10)/G10</f>
        <v>3.3333333333333361E-2</v>
      </c>
    </row>
    <row r="11" spans="1:13" s="1" customFormat="1" x14ac:dyDescent="0.3">
      <c r="A11" s="11" t="s">
        <v>16</v>
      </c>
      <c r="B11" s="11" t="s">
        <v>16</v>
      </c>
      <c r="C11" s="12" t="s">
        <v>331</v>
      </c>
      <c r="D11" s="35" t="s">
        <v>15</v>
      </c>
      <c r="E11" s="13">
        <v>1.1308333333333334</v>
      </c>
      <c r="F11" s="13">
        <v>1.1308333333333334</v>
      </c>
      <c r="G11" s="36">
        <f t="shared" si="0"/>
        <v>1.29</v>
      </c>
      <c r="H11" s="36">
        <f t="shared" si="1"/>
        <v>1.25</v>
      </c>
      <c r="I11" s="36">
        <f t="shared" si="2"/>
        <v>1.35</v>
      </c>
      <c r="J11" s="36">
        <f t="shared" si="3"/>
        <v>1.7</v>
      </c>
      <c r="K11" s="14" t="s">
        <v>227</v>
      </c>
      <c r="L11" s="15">
        <f>(-H11+G11)/G11</f>
        <v>3.1007751937984523E-2</v>
      </c>
    </row>
    <row r="12" spans="1:13" s="1" customFormat="1" x14ac:dyDescent="0.3">
      <c r="A12" s="11" t="s">
        <v>17</v>
      </c>
      <c r="B12" s="11" t="s">
        <v>17</v>
      </c>
      <c r="C12" s="16" t="s">
        <v>332</v>
      </c>
      <c r="D12" s="37" t="s">
        <v>15</v>
      </c>
      <c r="E12" s="19">
        <v>8.0258614999999995</v>
      </c>
      <c r="F12" s="19">
        <v>7.7048270399999996</v>
      </c>
      <c r="G12" s="38">
        <f t="shared" si="0"/>
        <v>9.15</v>
      </c>
      <c r="H12" s="38">
        <f t="shared" si="1"/>
        <v>8.48</v>
      </c>
      <c r="I12" s="38">
        <f t="shared" si="2"/>
        <v>9.56</v>
      </c>
      <c r="J12" s="38">
        <f t="shared" si="3"/>
        <v>11.56</v>
      </c>
      <c r="K12" s="14" t="s">
        <v>228</v>
      </c>
      <c r="L12" s="6">
        <f>(-H12+G12)/G12</f>
        <v>7.3224043715846981E-2</v>
      </c>
    </row>
    <row r="13" spans="1:13" s="1" customFormat="1" x14ac:dyDescent="0.3">
      <c r="A13" s="11" t="s">
        <v>18</v>
      </c>
      <c r="B13" s="11" t="s">
        <v>18</v>
      </c>
      <c r="C13" s="16" t="s">
        <v>333</v>
      </c>
      <c r="D13" s="37" t="s">
        <v>15</v>
      </c>
      <c r="E13" s="19">
        <v>4.8294479999999993</v>
      </c>
      <c r="F13" s="19">
        <v>4.6362700799999992</v>
      </c>
      <c r="G13" s="38">
        <f t="shared" si="0"/>
        <v>5.51</v>
      </c>
      <c r="H13" s="38">
        <f t="shared" si="1"/>
        <v>5.0999999999999996</v>
      </c>
      <c r="I13" s="38">
        <f t="shared" si="2"/>
        <v>5.76</v>
      </c>
      <c r="J13" s="38">
        <f t="shared" si="3"/>
        <v>6.96</v>
      </c>
      <c r="K13" s="14" t="s">
        <v>229</v>
      </c>
      <c r="L13" s="6">
        <f>(-H13+G13)/G13</f>
        <v>7.4410163339382968E-2</v>
      </c>
    </row>
    <row r="14" spans="1:13" s="1" customFormat="1" x14ac:dyDescent="0.3">
      <c r="A14" s="11" t="s">
        <v>19</v>
      </c>
      <c r="B14" s="11" t="s">
        <v>19</v>
      </c>
      <c r="C14" s="12" t="s">
        <v>334</v>
      </c>
      <c r="D14" s="35" t="s">
        <v>15</v>
      </c>
      <c r="E14" s="13">
        <v>5.2324999999999999</v>
      </c>
      <c r="F14" s="13">
        <v>5.2324999999999999</v>
      </c>
      <c r="G14" s="36">
        <f t="shared" si="0"/>
        <v>5.97</v>
      </c>
      <c r="H14" s="36">
        <f t="shared" si="1"/>
        <v>5.76</v>
      </c>
      <c r="I14" s="36">
        <f t="shared" si="2"/>
        <v>6.24</v>
      </c>
      <c r="J14" s="36">
        <f t="shared" si="3"/>
        <v>7.85</v>
      </c>
      <c r="K14" s="14" t="s">
        <v>230</v>
      </c>
      <c r="L14" s="15">
        <f>(-H14+G14)/G14</f>
        <v>3.5175879396984917E-2</v>
      </c>
    </row>
    <row r="15" spans="1:13" s="1" customFormat="1" x14ac:dyDescent="0.3">
      <c r="A15" s="11" t="s">
        <v>20</v>
      </c>
      <c r="B15" s="11" t="s">
        <v>20</v>
      </c>
      <c r="C15" s="12" t="s">
        <v>335</v>
      </c>
      <c r="D15" s="35" t="s">
        <v>15</v>
      </c>
      <c r="E15" s="13">
        <v>3.526666666666666</v>
      </c>
      <c r="F15" s="13">
        <v>3.526666666666666</v>
      </c>
      <c r="G15" s="36">
        <f t="shared" si="0"/>
        <v>4.0199999999999996</v>
      </c>
      <c r="H15" s="36">
        <f t="shared" si="1"/>
        <v>3.88</v>
      </c>
      <c r="I15" s="36">
        <f t="shared" si="2"/>
        <v>4.21</v>
      </c>
      <c r="J15" s="36">
        <f t="shared" si="3"/>
        <v>5.29</v>
      </c>
      <c r="K15" s="14" t="s">
        <v>231</v>
      </c>
      <c r="L15" s="15">
        <f>(-H15+G15)/G15</f>
        <v>3.4825870646766094E-2</v>
      </c>
    </row>
    <row r="16" spans="1:13" s="1" customFormat="1" x14ac:dyDescent="0.3">
      <c r="A16" s="11" t="s">
        <v>21</v>
      </c>
      <c r="B16" s="11" t="s">
        <v>21</v>
      </c>
      <c r="C16" s="12" t="s">
        <v>336</v>
      </c>
      <c r="D16" s="35" t="s">
        <v>15</v>
      </c>
      <c r="E16" s="13">
        <v>7.2833333333333323</v>
      </c>
      <c r="F16" s="13">
        <v>7.2833333333333323</v>
      </c>
      <c r="G16" s="36">
        <f t="shared" si="0"/>
        <v>8.2999999999999989</v>
      </c>
      <c r="H16" s="36">
        <f t="shared" si="1"/>
        <v>8.02</v>
      </c>
      <c r="I16" s="36">
        <f t="shared" si="2"/>
        <v>8.68</v>
      </c>
      <c r="J16" s="36">
        <f t="shared" si="3"/>
        <v>10.93</v>
      </c>
      <c r="K16" s="14" t="s">
        <v>232</v>
      </c>
      <c r="L16" s="15">
        <f>(-H16+G16)/G16</f>
        <v>3.3734939759036069E-2</v>
      </c>
    </row>
    <row r="17" spans="1:12" s="1" customFormat="1" x14ac:dyDescent="0.3">
      <c r="A17" s="11" t="s">
        <v>22</v>
      </c>
      <c r="B17" s="11" t="s">
        <v>22</v>
      </c>
      <c r="C17" s="16" t="s">
        <v>337</v>
      </c>
      <c r="D17" s="37" t="s">
        <v>15</v>
      </c>
      <c r="E17" s="19">
        <v>0.15</v>
      </c>
      <c r="F17" s="19">
        <v>0.15</v>
      </c>
      <c r="G17" s="38">
        <f t="shared" si="0"/>
        <v>0.18000000000000002</v>
      </c>
      <c r="H17" s="38">
        <f t="shared" si="1"/>
        <v>0.17</v>
      </c>
      <c r="I17" s="38">
        <f t="shared" si="2"/>
        <v>0.18000000000000002</v>
      </c>
      <c r="J17" s="38">
        <f t="shared" si="3"/>
        <v>0.23</v>
      </c>
      <c r="K17" s="17" t="s">
        <v>233</v>
      </c>
      <c r="L17" s="6">
        <f>(-H17+G17)/G17</f>
        <v>5.5555555555555601E-2</v>
      </c>
    </row>
    <row r="18" spans="1:12" s="1" customFormat="1" x14ac:dyDescent="0.3">
      <c r="A18" s="11" t="s">
        <v>23</v>
      </c>
      <c r="B18" s="11" t="s">
        <v>23</v>
      </c>
      <c r="C18" s="16" t="s">
        <v>338</v>
      </c>
      <c r="D18" s="37" t="s">
        <v>24</v>
      </c>
      <c r="E18" s="19">
        <v>0.03</v>
      </c>
      <c r="F18" s="19">
        <v>0.03</v>
      </c>
      <c r="G18" s="38">
        <f t="shared" si="0"/>
        <v>0.04</v>
      </c>
      <c r="H18" s="38">
        <f t="shared" si="1"/>
        <v>0.04</v>
      </c>
      <c r="I18" s="38">
        <f t="shared" si="2"/>
        <v>0.04</v>
      </c>
      <c r="J18" s="38">
        <f t="shared" si="3"/>
        <v>0.05</v>
      </c>
      <c r="K18" s="17" t="s">
        <v>234</v>
      </c>
      <c r="L18" s="6">
        <f>(-H18+G18)/G18</f>
        <v>0</v>
      </c>
    </row>
    <row r="19" spans="1:12" s="1" customFormat="1" x14ac:dyDescent="0.3">
      <c r="A19" s="11" t="s">
        <v>25</v>
      </c>
      <c r="B19" s="11" t="s">
        <v>25</v>
      </c>
      <c r="C19" s="16" t="s">
        <v>339</v>
      </c>
      <c r="D19" s="37" t="s">
        <v>24</v>
      </c>
      <c r="E19" s="19">
        <v>0.03</v>
      </c>
      <c r="F19" s="19">
        <v>0.03</v>
      </c>
      <c r="G19" s="38">
        <f t="shared" si="0"/>
        <v>0.04</v>
      </c>
      <c r="H19" s="38">
        <f t="shared" si="1"/>
        <v>0.04</v>
      </c>
      <c r="I19" s="38">
        <f t="shared" si="2"/>
        <v>0.04</v>
      </c>
      <c r="J19" s="38">
        <f t="shared" si="3"/>
        <v>0.05</v>
      </c>
      <c r="K19" s="17" t="s">
        <v>234</v>
      </c>
      <c r="L19" s="6">
        <f>(-H19+G19)/G19</f>
        <v>0</v>
      </c>
    </row>
    <row r="20" spans="1:12" s="1" customFormat="1" x14ac:dyDescent="0.3">
      <c r="A20" s="11" t="s">
        <v>26</v>
      </c>
      <c r="B20" s="11" t="s">
        <v>26</v>
      </c>
      <c r="C20" s="16" t="s">
        <v>340</v>
      </c>
      <c r="D20" s="37" t="s">
        <v>24</v>
      </c>
      <c r="E20" s="19">
        <v>0.03</v>
      </c>
      <c r="F20" s="19">
        <v>0.03</v>
      </c>
      <c r="G20" s="38">
        <f t="shared" si="0"/>
        <v>0.04</v>
      </c>
      <c r="H20" s="38">
        <f t="shared" si="1"/>
        <v>0.04</v>
      </c>
      <c r="I20" s="38">
        <f t="shared" si="2"/>
        <v>0.04</v>
      </c>
      <c r="J20" s="38">
        <f t="shared" si="3"/>
        <v>0.05</v>
      </c>
      <c r="K20" s="17" t="s">
        <v>234</v>
      </c>
      <c r="L20" s="6">
        <f>(-H20+G20)/G20</f>
        <v>0</v>
      </c>
    </row>
    <row r="21" spans="1:12" s="1" customFormat="1" x14ac:dyDescent="0.3">
      <c r="A21" s="11" t="s">
        <v>27</v>
      </c>
      <c r="B21" s="11" t="s">
        <v>27</v>
      </c>
      <c r="C21" s="16" t="s">
        <v>341</v>
      </c>
      <c r="D21" s="37" t="s">
        <v>24</v>
      </c>
      <c r="E21" s="19">
        <v>0.02</v>
      </c>
      <c r="F21" s="19">
        <v>0.02</v>
      </c>
      <c r="G21" s="38">
        <f t="shared" si="0"/>
        <v>0.03</v>
      </c>
      <c r="H21" s="38">
        <f t="shared" si="1"/>
        <v>0.03</v>
      </c>
      <c r="I21" s="38">
        <f t="shared" si="2"/>
        <v>0.03</v>
      </c>
      <c r="J21" s="38">
        <f t="shared" si="3"/>
        <v>0.03</v>
      </c>
      <c r="K21" s="17" t="s">
        <v>234</v>
      </c>
      <c r="L21" s="6">
        <f>(-H21+G21)/G21</f>
        <v>0</v>
      </c>
    </row>
    <row r="22" spans="1:12" s="1" customFormat="1" x14ac:dyDescent="0.3">
      <c r="A22" s="11" t="s">
        <v>28</v>
      </c>
      <c r="B22" s="11" t="s">
        <v>28</v>
      </c>
      <c r="C22" s="16" t="s">
        <v>342</v>
      </c>
      <c r="D22" s="37" t="s">
        <v>15</v>
      </c>
      <c r="E22" s="19">
        <v>26.25</v>
      </c>
      <c r="F22" s="19">
        <v>25.2</v>
      </c>
      <c r="G22" s="38">
        <f t="shared" si="0"/>
        <v>29.91</v>
      </c>
      <c r="H22" s="38">
        <f t="shared" si="1"/>
        <v>27.72</v>
      </c>
      <c r="I22" s="38">
        <f t="shared" si="2"/>
        <v>31.270000000000003</v>
      </c>
      <c r="J22" s="38">
        <f t="shared" si="3"/>
        <v>37.799999999999997</v>
      </c>
      <c r="K22" s="14" t="s">
        <v>235</v>
      </c>
      <c r="L22" s="6">
        <f>(-H22+G22)/G22</f>
        <v>7.3219658976930835E-2</v>
      </c>
    </row>
    <row r="23" spans="1:12" s="1" customFormat="1" x14ac:dyDescent="0.3">
      <c r="A23" s="11" t="s">
        <v>29</v>
      </c>
      <c r="B23" s="11" t="s">
        <v>29</v>
      </c>
      <c r="C23" s="16"/>
      <c r="D23" s="37"/>
      <c r="E23" s="19"/>
      <c r="F23" s="19"/>
      <c r="G23" s="38"/>
      <c r="H23" s="38"/>
      <c r="I23" s="38"/>
      <c r="J23" s="38"/>
      <c r="K23" s="17"/>
      <c r="L23" s="6"/>
    </row>
    <row r="24" spans="1:12" s="1" customFormat="1" x14ac:dyDescent="0.3">
      <c r="A24" s="11" t="s">
        <v>30</v>
      </c>
      <c r="B24" s="11" t="s">
        <v>30</v>
      </c>
      <c r="C24" s="16"/>
      <c r="D24" s="37"/>
      <c r="E24" s="19"/>
      <c r="F24" s="19"/>
      <c r="G24" s="38"/>
      <c r="H24" s="38"/>
      <c r="I24" s="38"/>
      <c r="J24" s="38"/>
      <c r="K24" s="17"/>
      <c r="L24" s="6"/>
    </row>
    <row r="25" spans="1:12" s="1" customFormat="1" x14ac:dyDescent="0.3">
      <c r="A25" s="11" t="s">
        <v>31</v>
      </c>
      <c r="B25" s="11" t="s">
        <v>31</v>
      </c>
      <c r="C25" s="16"/>
      <c r="D25" s="37"/>
      <c r="E25" s="19"/>
      <c r="F25" s="19"/>
      <c r="G25" s="38"/>
      <c r="H25" s="38"/>
      <c r="I25" s="38"/>
      <c r="J25" s="38"/>
      <c r="K25" s="17"/>
      <c r="L25" s="6"/>
    </row>
    <row r="26" spans="1:12" s="1" customFormat="1" x14ac:dyDescent="0.3">
      <c r="A26" s="11" t="s">
        <v>32</v>
      </c>
      <c r="B26" s="11" t="s">
        <v>32</v>
      </c>
      <c r="C26" s="16"/>
      <c r="D26" s="37"/>
      <c r="E26" s="19"/>
      <c r="F26" s="19"/>
      <c r="G26" s="38"/>
      <c r="H26" s="38"/>
      <c r="I26" s="38"/>
      <c r="J26" s="38"/>
      <c r="K26" s="17"/>
      <c r="L26" s="6"/>
    </row>
    <row r="27" spans="1:12" s="1" customFormat="1" x14ac:dyDescent="0.3">
      <c r="A27" s="11" t="s">
        <v>213</v>
      </c>
      <c r="B27" s="11" t="s">
        <v>213</v>
      </c>
      <c r="C27" s="16"/>
      <c r="D27" s="37"/>
      <c r="E27" s="19"/>
      <c r="F27" s="19"/>
      <c r="G27" s="38"/>
      <c r="H27" s="38"/>
      <c r="I27" s="38"/>
      <c r="J27" s="38"/>
      <c r="K27" s="17"/>
      <c r="L27" s="6"/>
    </row>
    <row r="28" spans="1:12" s="1" customFormat="1" ht="21" x14ac:dyDescent="0.4">
      <c r="A28" s="10"/>
      <c r="B28" s="10"/>
      <c r="C28" s="39" t="s">
        <v>33</v>
      </c>
      <c r="D28" s="7"/>
      <c r="E28" s="40"/>
      <c r="F28" s="40"/>
      <c r="G28" s="38"/>
      <c r="H28" s="38"/>
      <c r="I28" s="38"/>
      <c r="J28" s="38"/>
      <c r="K28" s="41"/>
      <c r="L28" s="6"/>
    </row>
    <row r="29" spans="1:12" s="1" customFormat="1" x14ac:dyDescent="0.3">
      <c r="A29" s="11" t="s">
        <v>34</v>
      </c>
      <c r="B29" s="11" t="s">
        <v>34</v>
      </c>
      <c r="C29" s="12" t="s">
        <v>343</v>
      </c>
      <c r="D29" s="35" t="s">
        <v>35</v>
      </c>
      <c r="E29" s="42">
        <v>31.5</v>
      </c>
      <c r="F29" s="42">
        <v>31.5</v>
      </c>
      <c r="G29" s="36">
        <f t="shared" ref="G29:G89" si="4">ROUNDUP(E29*0.87*1.1/0.84,2)</f>
        <v>35.89</v>
      </c>
      <c r="H29" s="36">
        <f t="shared" ref="H29:H89" si="5">ROUNDUP(F29*1.1,2)</f>
        <v>34.65</v>
      </c>
      <c r="I29" s="36">
        <f t="shared" ref="I29:I89" si="6">ROUNDUP(E29*0.87*1.15/0.84,2)</f>
        <v>37.519999999999996</v>
      </c>
      <c r="J29" s="36">
        <f t="shared" ref="J29:J89" si="7">ROUNDUP(F29*1.5,2)</f>
        <v>47.25</v>
      </c>
      <c r="K29" s="14" t="s">
        <v>236</v>
      </c>
      <c r="L29" s="15">
        <f>(-H29+G29)/G29</f>
        <v>3.4550013931457284E-2</v>
      </c>
    </row>
    <row r="30" spans="1:12" s="1" customFormat="1" x14ac:dyDescent="0.3">
      <c r="A30" s="11" t="s">
        <v>36</v>
      </c>
      <c r="B30" s="11" t="s">
        <v>36</v>
      </c>
      <c r="C30" s="12" t="s">
        <v>344</v>
      </c>
      <c r="D30" s="35" t="s">
        <v>35</v>
      </c>
      <c r="E30" s="42">
        <v>30.450000000000003</v>
      </c>
      <c r="F30" s="42">
        <v>30.450000000000003</v>
      </c>
      <c r="G30" s="36">
        <f t="shared" si="4"/>
        <v>34.699999999999996</v>
      </c>
      <c r="H30" s="36">
        <f t="shared" si="5"/>
        <v>33.5</v>
      </c>
      <c r="I30" s="36">
        <f t="shared" si="6"/>
        <v>36.269999999999996</v>
      </c>
      <c r="J30" s="36">
        <f t="shared" si="7"/>
        <v>45.68</v>
      </c>
      <c r="K30" s="14" t="s">
        <v>237</v>
      </c>
      <c r="L30" s="15">
        <f>(-H30+G30)/G30</f>
        <v>3.4582132564841377E-2</v>
      </c>
    </row>
    <row r="31" spans="1:12" s="1" customFormat="1" x14ac:dyDescent="0.3">
      <c r="A31" s="11" t="s">
        <v>37</v>
      </c>
      <c r="B31" s="11" t="s">
        <v>37</v>
      </c>
      <c r="C31" s="16" t="s">
        <v>345</v>
      </c>
      <c r="D31" s="37" t="s">
        <v>35</v>
      </c>
      <c r="E31" s="21">
        <v>26</v>
      </c>
      <c r="F31" s="21">
        <v>25</v>
      </c>
      <c r="G31" s="38">
        <f t="shared" si="4"/>
        <v>29.630000000000003</v>
      </c>
      <c r="H31" s="38">
        <f t="shared" si="5"/>
        <v>27.5</v>
      </c>
      <c r="I31" s="38">
        <f t="shared" si="6"/>
        <v>30.970000000000002</v>
      </c>
      <c r="J31" s="38">
        <f t="shared" si="7"/>
        <v>37.5</v>
      </c>
      <c r="K31" s="17" t="s">
        <v>238</v>
      </c>
      <c r="L31" s="6">
        <f>(-H31+G31)/G31</f>
        <v>7.1886601417482363E-2</v>
      </c>
    </row>
    <row r="32" spans="1:12" s="1" customFormat="1" x14ac:dyDescent="0.3">
      <c r="A32" s="11" t="s">
        <v>38</v>
      </c>
      <c r="B32" s="11" t="s">
        <v>38</v>
      </c>
      <c r="C32" s="16" t="s">
        <v>346</v>
      </c>
      <c r="D32" s="37" t="s">
        <v>35</v>
      </c>
      <c r="E32" s="21">
        <v>24</v>
      </c>
      <c r="F32" s="21">
        <v>24</v>
      </c>
      <c r="G32" s="38">
        <f t="shared" si="4"/>
        <v>27.35</v>
      </c>
      <c r="H32" s="38">
        <f t="shared" si="5"/>
        <v>26.4</v>
      </c>
      <c r="I32" s="38">
        <f t="shared" si="6"/>
        <v>28.59</v>
      </c>
      <c r="J32" s="38">
        <f t="shared" si="7"/>
        <v>36</v>
      </c>
      <c r="K32" s="17" t="s">
        <v>238</v>
      </c>
      <c r="L32" s="6">
        <f>(-H32+G32)/G32</f>
        <v>3.4734917733089683E-2</v>
      </c>
    </row>
    <row r="33" spans="1:12" s="1" customFormat="1" x14ac:dyDescent="0.3">
      <c r="A33" s="11" t="s">
        <v>39</v>
      </c>
      <c r="B33" s="11" t="s">
        <v>39</v>
      </c>
      <c r="C33" s="16" t="s">
        <v>347</v>
      </c>
      <c r="D33" s="37" t="s">
        <v>35</v>
      </c>
      <c r="E33" s="21">
        <v>21</v>
      </c>
      <c r="F33" s="21">
        <v>21</v>
      </c>
      <c r="G33" s="38">
        <f t="shared" si="4"/>
        <v>23.930000000000003</v>
      </c>
      <c r="H33" s="38">
        <f t="shared" si="5"/>
        <v>23.1</v>
      </c>
      <c r="I33" s="38">
        <f t="shared" si="6"/>
        <v>25.020000000000003</v>
      </c>
      <c r="J33" s="38">
        <f t="shared" si="7"/>
        <v>31.5</v>
      </c>
      <c r="K33" s="17" t="s">
        <v>238</v>
      </c>
      <c r="L33" s="6">
        <f>(-H33+G33)/G33</f>
        <v>3.4684496447973327E-2</v>
      </c>
    </row>
    <row r="34" spans="1:12" s="1" customFormat="1" x14ac:dyDescent="0.3">
      <c r="A34" s="11" t="s">
        <v>40</v>
      </c>
      <c r="B34" s="11" t="s">
        <v>40</v>
      </c>
      <c r="C34" s="12" t="s">
        <v>348</v>
      </c>
      <c r="D34" s="35" t="s">
        <v>35</v>
      </c>
      <c r="E34" s="42">
        <v>40.950000000000003</v>
      </c>
      <c r="F34" s="42">
        <v>40.950000000000003</v>
      </c>
      <c r="G34" s="36">
        <f t="shared" si="4"/>
        <v>46.66</v>
      </c>
      <c r="H34" s="36">
        <f t="shared" si="5"/>
        <v>45.05</v>
      </c>
      <c r="I34" s="36">
        <f t="shared" si="6"/>
        <v>48.78</v>
      </c>
      <c r="J34" s="36">
        <f t="shared" si="7"/>
        <v>61.43</v>
      </c>
      <c r="K34" s="14" t="s">
        <v>239</v>
      </c>
      <c r="L34" s="15">
        <f>(-H34+G34)/G34</f>
        <v>3.4504929275610795E-2</v>
      </c>
    </row>
    <row r="35" spans="1:12" s="1" customFormat="1" x14ac:dyDescent="0.3">
      <c r="A35" s="11" t="s">
        <v>41</v>
      </c>
      <c r="B35" s="11" t="s">
        <v>41</v>
      </c>
      <c r="C35" s="12" t="s">
        <v>349</v>
      </c>
      <c r="D35" s="35" t="s">
        <v>35</v>
      </c>
      <c r="E35" s="42">
        <v>39.9</v>
      </c>
      <c r="F35" s="42">
        <v>39.9</v>
      </c>
      <c r="G35" s="36">
        <f t="shared" si="4"/>
        <v>45.46</v>
      </c>
      <c r="H35" s="36">
        <f t="shared" si="5"/>
        <v>43.89</v>
      </c>
      <c r="I35" s="36">
        <f t="shared" si="6"/>
        <v>47.53</v>
      </c>
      <c r="J35" s="36">
        <f t="shared" si="7"/>
        <v>59.85</v>
      </c>
      <c r="K35" s="14" t="s">
        <v>240</v>
      </c>
      <c r="L35" s="15">
        <f>(-H35+G35)/G35</f>
        <v>3.4535855697316327E-2</v>
      </c>
    </row>
    <row r="36" spans="1:12" s="1" customFormat="1" x14ac:dyDescent="0.3">
      <c r="A36" s="11" t="s">
        <v>42</v>
      </c>
      <c r="B36" s="11" t="s">
        <v>42</v>
      </c>
      <c r="C36" s="16" t="s">
        <v>350</v>
      </c>
      <c r="D36" s="37" t="s">
        <v>35</v>
      </c>
      <c r="E36" s="21">
        <v>42</v>
      </c>
      <c r="F36" s="21">
        <v>40</v>
      </c>
      <c r="G36" s="38">
        <f t="shared" si="4"/>
        <v>47.85</v>
      </c>
      <c r="H36" s="38">
        <f t="shared" si="5"/>
        <v>44</v>
      </c>
      <c r="I36" s="38">
        <f t="shared" si="6"/>
        <v>50.03</v>
      </c>
      <c r="J36" s="38">
        <f t="shared" si="7"/>
        <v>60</v>
      </c>
      <c r="K36" s="17" t="s">
        <v>238</v>
      </c>
      <c r="L36" s="6">
        <f>(-H36+G36)/G36</f>
        <v>8.0459770114942555E-2</v>
      </c>
    </row>
    <row r="37" spans="1:12" s="1" customFormat="1" x14ac:dyDescent="0.3">
      <c r="A37" s="11" t="s">
        <v>43</v>
      </c>
      <c r="B37" s="11" t="s">
        <v>43</v>
      </c>
      <c r="C37" s="16" t="s">
        <v>351</v>
      </c>
      <c r="D37" s="37" t="s">
        <v>35</v>
      </c>
      <c r="E37" s="19">
        <v>40</v>
      </c>
      <c r="F37" s="19">
        <v>38</v>
      </c>
      <c r="G37" s="38">
        <f t="shared" si="4"/>
        <v>45.58</v>
      </c>
      <c r="H37" s="38">
        <f t="shared" si="5"/>
        <v>41.8</v>
      </c>
      <c r="I37" s="38">
        <f t="shared" si="6"/>
        <v>47.65</v>
      </c>
      <c r="J37" s="38">
        <f t="shared" si="7"/>
        <v>57</v>
      </c>
      <c r="K37" s="17" t="s">
        <v>238</v>
      </c>
      <c r="L37" s="6">
        <f>(-H37+G37)/G37</f>
        <v>8.2931110136024597E-2</v>
      </c>
    </row>
    <row r="38" spans="1:12" s="1" customFormat="1" x14ac:dyDescent="0.3">
      <c r="A38" s="11" t="s">
        <v>44</v>
      </c>
      <c r="B38" s="11" t="s">
        <v>44</v>
      </c>
      <c r="C38" s="16" t="s">
        <v>352</v>
      </c>
      <c r="D38" s="37" t="s">
        <v>35</v>
      </c>
      <c r="E38" s="19">
        <v>38</v>
      </c>
      <c r="F38" s="19">
        <v>36</v>
      </c>
      <c r="G38" s="38">
        <f t="shared" si="4"/>
        <v>43.3</v>
      </c>
      <c r="H38" s="38">
        <f t="shared" si="5"/>
        <v>39.6</v>
      </c>
      <c r="I38" s="38">
        <f t="shared" si="6"/>
        <v>45.269999999999996</v>
      </c>
      <c r="J38" s="38">
        <f t="shared" si="7"/>
        <v>54</v>
      </c>
      <c r="K38" s="17" t="s">
        <v>238</v>
      </c>
      <c r="L38" s="6">
        <f>(-H38+G38)/G38</f>
        <v>8.5450346420323231E-2</v>
      </c>
    </row>
    <row r="39" spans="1:12" s="1" customFormat="1" x14ac:dyDescent="0.3">
      <c r="A39" s="11" t="s">
        <v>45</v>
      </c>
      <c r="B39" s="11" t="s">
        <v>45</v>
      </c>
      <c r="C39" s="16" t="s">
        <v>353</v>
      </c>
      <c r="D39" s="37" t="s">
        <v>35</v>
      </c>
      <c r="E39" s="19">
        <v>44</v>
      </c>
      <c r="F39" s="19">
        <v>44</v>
      </c>
      <c r="G39" s="38">
        <f t="shared" si="4"/>
        <v>50.129999999999995</v>
      </c>
      <c r="H39" s="38">
        <f t="shared" si="5"/>
        <v>48.4</v>
      </c>
      <c r="I39" s="38">
        <f t="shared" si="6"/>
        <v>52.41</v>
      </c>
      <c r="J39" s="38">
        <f t="shared" si="7"/>
        <v>66</v>
      </c>
      <c r="K39" s="17" t="s">
        <v>238</v>
      </c>
      <c r="L39" s="6">
        <f>(-H39+G39)/G39</f>
        <v>3.4510273289447377E-2</v>
      </c>
    </row>
    <row r="40" spans="1:12" s="1" customFormat="1" x14ac:dyDescent="0.3">
      <c r="A40" s="11" t="s">
        <v>46</v>
      </c>
      <c r="B40" s="11" t="s">
        <v>46</v>
      </c>
      <c r="C40" s="16" t="s">
        <v>354</v>
      </c>
      <c r="D40" s="37" t="s">
        <v>35</v>
      </c>
      <c r="E40" s="19">
        <v>46</v>
      </c>
      <c r="F40" s="19">
        <v>46</v>
      </c>
      <c r="G40" s="38">
        <f t="shared" si="4"/>
        <v>52.41</v>
      </c>
      <c r="H40" s="38">
        <f t="shared" si="5"/>
        <v>50.6</v>
      </c>
      <c r="I40" s="38">
        <f t="shared" si="6"/>
        <v>54.79</v>
      </c>
      <c r="J40" s="38">
        <f t="shared" si="7"/>
        <v>69</v>
      </c>
      <c r="K40" s="17" t="s">
        <v>241</v>
      </c>
      <c r="L40" s="6">
        <f>(-H40+G40)/G40</f>
        <v>3.4535394008776858E-2</v>
      </c>
    </row>
    <row r="41" spans="1:12" s="1" customFormat="1" ht="27" x14ac:dyDescent="0.3">
      <c r="A41" s="11" t="s">
        <v>47</v>
      </c>
      <c r="B41" s="11" t="s">
        <v>47</v>
      </c>
      <c r="C41" s="12" t="s">
        <v>355</v>
      </c>
      <c r="D41" s="35" t="s">
        <v>15</v>
      </c>
      <c r="E41" s="13">
        <v>9.4779166666666672</v>
      </c>
      <c r="F41" s="13">
        <v>9.4779166666666672</v>
      </c>
      <c r="G41" s="36">
        <f t="shared" si="4"/>
        <v>10.799999999999999</v>
      </c>
      <c r="H41" s="36">
        <f t="shared" si="5"/>
        <v>10.43</v>
      </c>
      <c r="I41" s="36">
        <f t="shared" si="6"/>
        <v>11.29</v>
      </c>
      <c r="J41" s="36">
        <f t="shared" si="7"/>
        <v>14.22</v>
      </c>
      <c r="K41" s="14" t="s">
        <v>242</v>
      </c>
      <c r="L41" s="15">
        <f>(-H41+G41)/G41</f>
        <v>3.4259259259259191E-2</v>
      </c>
    </row>
    <row r="42" spans="1:12" s="1" customFormat="1" ht="27" x14ac:dyDescent="0.3">
      <c r="A42" s="11" t="s">
        <v>48</v>
      </c>
      <c r="B42" s="11" t="s">
        <v>48</v>
      </c>
      <c r="C42" s="12" t="s">
        <v>356</v>
      </c>
      <c r="D42" s="35" t="s">
        <v>49</v>
      </c>
      <c r="E42" s="13">
        <v>8.625</v>
      </c>
      <c r="F42" s="13">
        <v>8.625</v>
      </c>
      <c r="G42" s="36">
        <f t="shared" si="4"/>
        <v>9.83</v>
      </c>
      <c r="H42" s="36">
        <f t="shared" si="5"/>
        <v>9.49</v>
      </c>
      <c r="I42" s="36">
        <f t="shared" si="6"/>
        <v>10.28</v>
      </c>
      <c r="J42" s="36">
        <f t="shared" si="7"/>
        <v>12.94</v>
      </c>
      <c r="K42" s="14" t="s">
        <v>243</v>
      </c>
      <c r="L42" s="15">
        <f>(-H42+G42)/G42</f>
        <v>3.4587995930823991E-2</v>
      </c>
    </row>
    <row r="43" spans="1:12" s="1" customFormat="1" ht="27" x14ac:dyDescent="0.3">
      <c r="A43" s="11" t="s">
        <v>50</v>
      </c>
      <c r="B43" s="11" t="s">
        <v>50</v>
      </c>
      <c r="C43" s="12" t="s">
        <v>357</v>
      </c>
      <c r="D43" s="35" t="s">
        <v>49</v>
      </c>
      <c r="E43" s="13">
        <v>5.1749999999999998</v>
      </c>
      <c r="F43" s="13">
        <v>5.1749999999999998</v>
      </c>
      <c r="G43" s="36">
        <f t="shared" si="4"/>
        <v>5.8999999999999995</v>
      </c>
      <c r="H43" s="36">
        <f t="shared" si="5"/>
        <v>5.7</v>
      </c>
      <c r="I43" s="36">
        <f t="shared" si="6"/>
        <v>6.17</v>
      </c>
      <c r="J43" s="36">
        <f t="shared" si="7"/>
        <v>7.77</v>
      </c>
      <c r="K43" s="14" t="s">
        <v>244</v>
      </c>
      <c r="L43" s="15">
        <f>(-H43+G43)/G43</f>
        <v>3.3898305084745645E-2</v>
      </c>
    </row>
    <row r="44" spans="1:12" s="1" customFormat="1" x14ac:dyDescent="0.3">
      <c r="A44" s="11" t="s">
        <v>51</v>
      </c>
      <c r="B44" s="11" t="s">
        <v>51</v>
      </c>
      <c r="C44" s="16" t="s">
        <v>358</v>
      </c>
      <c r="D44" s="37" t="s">
        <v>49</v>
      </c>
      <c r="E44" s="19">
        <v>5.25</v>
      </c>
      <c r="F44" s="19">
        <v>5</v>
      </c>
      <c r="G44" s="38">
        <f t="shared" si="4"/>
        <v>5.99</v>
      </c>
      <c r="H44" s="38">
        <f t="shared" si="5"/>
        <v>5.5</v>
      </c>
      <c r="I44" s="38">
        <f t="shared" si="6"/>
        <v>6.26</v>
      </c>
      <c r="J44" s="38">
        <f t="shared" si="7"/>
        <v>7.5</v>
      </c>
      <c r="K44" s="17" t="s">
        <v>245</v>
      </c>
      <c r="L44" s="6">
        <f>(-H44+G44)/G44</f>
        <v>8.1803005008347279E-2</v>
      </c>
    </row>
    <row r="45" spans="1:12" s="1" customFormat="1" x14ac:dyDescent="0.3">
      <c r="A45" s="11" t="s">
        <v>52</v>
      </c>
      <c r="B45" s="11" t="s">
        <v>52</v>
      </c>
      <c r="C45" s="16" t="s">
        <v>359</v>
      </c>
      <c r="D45" s="37" t="s">
        <v>49</v>
      </c>
      <c r="E45" s="19">
        <v>5.25</v>
      </c>
      <c r="F45" s="19">
        <v>5</v>
      </c>
      <c r="G45" s="38">
        <f t="shared" si="4"/>
        <v>5.99</v>
      </c>
      <c r="H45" s="38">
        <f t="shared" si="5"/>
        <v>5.5</v>
      </c>
      <c r="I45" s="38">
        <f t="shared" si="6"/>
        <v>6.26</v>
      </c>
      <c r="J45" s="38">
        <f t="shared" si="7"/>
        <v>7.5</v>
      </c>
      <c r="K45" s="17" t="s">
        <v>245</v>
      </c>
      <c r="L45" s="6">
        <f>(-H45+G45)/G45</f>
        <v>8.1803005008347279E-2</v>
      </c>
    </row>
    <row r="46" spans="1:12" s="1" customFormat="1" x14ac:dyDescent="0.3">
      <c r="A46" s="11" t="s">
        <v>53</v>
      </c>
      <c r="B46" s="11" t="s">
        <v>53</v>
      </c>
      <c r="C46" s="16" t="s">
        <v>360</v>
      </c>
      <c r="D46" s="37" t="s">
        <v>49</v>
      </c>
      <c r="E46" s="19">
        <v>5.25</v>
      </c>
      <c r="F46" s="19">
        <v>5</v>
      </c>
      <c r="G46" s="38">
        <f t="shared" si="4"/>
        <v>5.99</v>
      </c>
      <c r="H46" s="38">
        <f t="shared" si="5"/>
        <v>5.5</v>
      </c>
      <c r="I46" s="38">
        <f t="shared" si="6"/>
        <v>6.26</v>
      </c>
      <c r="J46" s="38">
        <f t="shared" si="7"/>
        <v>7.5</v>
      </c>
      <c r="K46" s="17" t="s">
        <v>245</v>
      </c>
      <c r="L46" s="6">
        <f>(-H46+G46)/G46</f>
        <v>8.1803005008347279E-2</v>
      </c>
    </row>
    <row r="47" spans="1:12" s="1" customFormat="1" x14ac:dyDescent="0.3">
      <c r="A47" s="11" t="s">
        <v>54</v>
      </c>
      <c r="B47" s="11" t="s">
        <v>54</v>
      </c>
      <c r="C47" s="16" t="s">
        <v>361</v>
      </c>
      <c r="D47" s="37" t="s">
        <v>49</v>
      </c>
      <c r="E47" s="19">
        <v>5.25</v>
      </c>
      <c r="F47" s="19">
        <v>5</v>
      </c>
      <c r="G47" s="38">
        <f t="shared" si="4"/>
        <v>5.99</v>
      </c>
      <c r="H47" s="38">
        <f t="shared" si="5"/>
        <v>5.5</v>
      </c>
      <c r="I47" s="38">
        <f t="shared" si="6"/>
        <v>6.26</v>
      </c>
      <c r="J47" s="38">
        <f t="shared" si="7"/>
        <v>7.5</v>
      </c>
      <c r="K47" s="17" t="s">
        <v>245</v>
      </c>
      <c r="L47" s="6">
        <f>(-H47+G47)/G47</f>
        <v>8.1803005008347279E-2</v>
      </c>
    </row>
    <row r="48" spans="1:12" s="1" customFormat="1" x14ac:dyDescent="0.3">
      <c r="A48" s="11" t="s">
        <v>55</v>
      </c>
      <c r="B48" s="11" t="s">
        <v>55</v>
      </c>
      <c r="C48" s="16" t="s">
        <v>362</v>
      </c>
      <c r="D48" s="37" t="s">
        <v>24</v>
      </c>
      <c r="E48" s="19">
        <v>89.25</v>
      </c>
      <c r="F48" s="19">
        <v>85</v>
      </c>
      <c r="G48" s="38">
        <f t="shared" si="4"/>
        <v>101.69000000000001</v>
      </c>
      <c r="H48" s="38">
        <f t="shared" si="5"/>
        <v>93.5</v>
      </c>
      <c r="I48" s="38">
        <f t="shared" si="6"/>
        <v>106.31</v>
      </c>
      <c r="J48" s="38">
        <f t="shared" si="7"/>
        <v>127.5</v>
      </c>
      <c r="K48" s="17" t="s">
        <v>245</v>
      </c>
      <c r="L48" s="6">
        <f>(-H48+G48)/G48</f>
        <v>8.0538892713147917E-2</v>
      </c>
    </row>
    <row r="49" spans="1:12" s="1" customFormat="1" x14ac:dyDescent="0.3">
      <c r="A49" s="11" t="s">
        <v>56</v>
      </c>
      <c r="B49" s="11" t="s">
        <v>56</v>
      </c>
      <c r="C49" s="16" t="s">
        <v>363</v>
      </c>
      <c r="D49" s="37" t="s">
        <v>24</v>
      </c>
      <c r="E49" s="19">
        <v>70</v>
      </c>
      <c r="F49" s="19">
        <v>70</v>
      </c>
      <c r="G49" s="38">
        <f t="shared" si="4"/>
        <v>79.75</v>
      </c>
      <c r="H49" s="38">
        <f t="shared" si="5"/>
        <v>77</v>
      </c>
      <c r="I49" s="38">
        <f t="shared" si="6"/>
        <v>83.38000000000001</v>
      </c>
      <c r="J49" s="38">
        <f t="shared" si="7"/>
        <v>105</v>
      </c>
      <c r="K49" s="17" t="s">
        <v>246</v>
      </c>
      <c r="L49" s="6">
        <f>(-H49+G49)/G49</f>
        <v>3.4482758620689655E-2</v>
      </c>
    </row>
    <row r="50" spans="1:12" s="1" customFormat="1" x14ac:dyDescent="0.3">
      <c r="A50" s="11" t="s">
        <v>57</v>
      </c>
      <c r="B50" s="11" t="s">
        <v>57</v>
      </c>
      <c r="C50" s="16" t="s">
        <v>364</v>
      </c>
      <c r="D50" s="37" t="s">
        <v>24</v>
      </c>
      <c r="E50" s="19">
        <v>3</v>
      </c>
      <c r="F50" s="19">
        <v>3</v>
      </c>
      <c r="G50" s="38">
        <f t="shared" si="4"/>
        <v>3.42</v>
      </c>
      <c r="H50" s="38">
        <f t="shared" si="5"/>
        <v>3.3</v>
      </c>
      <c r="I50" s="38">
        <f t="shared" si="6"/>
        <v>3.5799999999999996</v>
      </c>
      <c r="J50" s="38">
        <f t="shared" si="7"/>
        <v>4.5</v>
      </c>
      <c r="K50" s="17" t="s">
        <v>238</v>
      </c>
      <c r="L50" s="6">
        <f>(-H50+G50)/G50</f>
        <v>3.5087719298245647E-2</v>
      </c>
    </row>
    <row r="51" spans="1:12" s="1" customFormat="1" x14ac:dyDescent="0.3">
      <c r="A51" s="11" t="s">
        <v>58</v>
      </c>
      <c r="B51" s="11" t="s">
        <v>58</v>
      </c>
      <c r="C51" s="12" t="s">
        <v>365</v>
      </c>
      <c r="D51" s="35" t="s">
        <v>24</v>
      </c>
      <c r="E51" s="13">
        <v>2.5499999999999998</v>
      </c>
      <c r="F51" s="13">
        <v>2.5499999999999998</v>
      </c>
      <c r="G51" s="36">
        <f t="shared" si="4"/>
        <v>2.9099999999999997</v>
      </c>
      <c r="H51" s="36">
        <f t="shared" si="5"/>
        <v>2.8099999999999996</v>
      </c>
      <c r="I51" s="36">
        <f t="shared" si="6"/>
        <v>3.0399999999999996</v>
      </c>
      <c r="J51" s="36">
        <f t="shared" si="7"/>
        <v>3.8299999999999996</v>
      </c>
      <c r="K51" s="14" t="s">
        <v>247</v>
      </c>
      <c r="L51" s="15">
        <f>(-H51+G51)/G51</f>
        <v>3.4364261168384917E-2</v>
      </c>
    </row>
    <row r="52" spans="1:12" s="1" customFormat="1" x14ac:dyDescent="0.3">
      <c r="A52" s="11" t="s">
        <v>59</v>
      </c>
      <c r="B52" s="11" t="s">
        <v>59</v>
      </c>
      <c r="C52" s="12" t="s">
        <v>366</v>
      </c>
      <c r="D52" s="35" t="s">
        <v>24</v>
      </c>
      <c r="E52" s="13">
        <v>3.15</v>
      </c>
      <c r="F52" s="13">
        <v>3.15</v>
      </c>
      <c r="G52" s="36">
        <f t="shared" si="4"/>
        <v>3.59</v>
      </c>
      <c r="H52" s="36">
        <f t="shared" si="5"/>
        <v>3.4699999999999998</v>
      </c>
      <c r="I52" s="36">
        <f t="shared" si="6"/>
        <v>3.76</v>
      </c>
      <c r="J52" s="36">
        <f t="shared" si="7"/>
        <v>4.7299999999999995</v>
      </c>
      <c r="K52" s="14" t="s">
        <v>248</v>
      </c>
      <c r="L52" s="15">
        <f>(-H52+G52)/G52</f>
        <v>3.3426183844011172E-2</v>
      </c>
    </row>
    <row r="53" spans="1:12" s="1" customFormat="1" x14ac:dyDescent="0.3">
      <c r="A53" s="11" t="s">
        <v>60</v>
      </c>
      <c r="B53" s="11" t="s">
        <v>60</v>
      </c>
      <c r="C53" s="12" t="s">
        <v>367</v>
      </c>
      <c r="D53" s="35" t="s">
        <v>24</v>
      </c>
      <c r="E53" s="13">
        <v>1.1499999999999999</v>
      </c>
      <c r="F53" s="13">
        <v>1.1499999999999999</v>
      </c>
      <c r="G53" s="36">
        <f t="shared" si="4"/>
        <v>1.32</v>
      </c>
      <c r="H53" s="36">
        <f t="shared" si="5"/>
        <v>1.27</v>
      </c>
      <c r="I53" s="36">
        <f t="shared" si="6"/>
        <v>1.37</v>
      </c>
      <c r="J53" s="36">
        <f t="shared" si="7"/>
        <v>1.73</v>
      </c>
      <c r="K53" s="14" t="s">
        <v>249</v>
      </c>
      <c r="L53" s="15">
        <f>(-H53+G53)/G53</f>
        <v>3.7878787878787908E-2</v>
      </c>
    </row>
    <row r="54" spans="1:12" s="1" customFormat="1" x14ac:dyDescent="0.3">
      <c r="A54" s="11" t="s">
        <v>61</v>
      </c>
      <c r="B54" s="11" t="s">
        <v>61</v>
      </c>
      <c r="C54" s="12" t="s">
        <v>368</v>
      </c>
      <c r="D54" s="35" t="s">
        <v>24</v>
      </c>
      <c r="E54" s="13">
        <v>1.1499999999999999</v>
      </c>
      <c r="F54" s="13">
        <v>1.1499999999999999</v>
      </c>
      <c r="G54" s="36">
        <f t="shared" si="4"/>
        <v>1.32</v>
      </c>
      <c r="H54" s="36">
        <f t="shared" si="5"/>
        <v>1.27</v>
      </c>
      <c r="I54" s="36">
        <f t="shared" si="6"/>
        <v>1.37</v>
      </c>
      <c r="J54" s="36">
        <f t="shared" si="7"/>
        <v>1.73</v>
      </c>
      <c r="K54" s="14" t="s">
        <v>249</v>
      </c>
      <c r="L54" s="15">
        <f>(-H54+G54)/G54</f>
        <v>3.7878787878787908E-2</v>
      </c>
    </row>
    <row r="55" spans="1:12" s="1" customFormat="1" x14ac:dyDescent="0.3">
      <c r="A55" s="11" t="s">
        <v>62</v>
      </c>
      <c r="B55" s="11" t="s">
        <v>62</v>
      </c>
      <c r="C55" s="12" t="s">
        <v>369</v>
      </c>
      <c r="D55" s="35" t="s">
        <v>24</v>
      </c>
      <c r="E55" s="13">
        <v>7.65</v>
      </c>
      <c r="F55" s="13">
        <v>7.65</v>
      </c>
      <c r="G55" s="36">
        <f t="shared" si="4"/>
        <v>8.7200000000000006</v>
      </c>
      <c r="H55" s="36">
        <f t="shared" si="5"/>
        <v>8.42</v>
      </c>
      <c r="I55" s="36">
        <f t="shared" si="6"/>
        <v>9.1199999999999992</v>
      </c>
      <c r="J55" s="36">
        <f t="shared" si="7"/>
        <v>11.48</v>
      </c>
      <c r="K55" s="14" t="s">
        <v>250</v>
      </c>
      <c r="L55" s="15">
        <f>(-H55+G55)/G55</f>
        <v>3.440366972477072E-2</v>
      </c>
    </row>
    <row r="56" spans="1:12" s="1" customFormat="1" x14ac:dyDescent="0.3">
      <c r="A56" s="11" t="s">
        <v>63</v>
      </c>
      <c r="B56" s="11" t="s">
        <v>63</v>
      </c>
      <c r="C56" s="12" t="s">
        <v>370</v>
      </c>
      <c r="D56" s="35" t="s">
        <v>24</v>
      </c>
      <c r="E56" s="13">
        <v>8.65</v>
      </c>
      <c r="F56" s="13">
        <v>8.65</v>
      </c>
      <c r="G56" s="36">
        <f t="shared" si="4"/>
        <v>9.86</v>
      </c>
      <c r="H56" s="36">
        <f t="shared" si="5"/>
        <v>9.52</v>
      </c>
      <c r="I56" s="36">
        <f t="shared" si="6"/>
        <v>10.31</v>
      </c>
      <c r="J56" s="36">
        <f t="shared" si="7"/>
        <v>12.98</v>
      </c>
      <c r="K56" s="14" t="s">
        <v>251</v>
      </c>
      <c r="L56" s="15">
        <f>(-H56+G56)/G56</f>
        <v>3.4482758620689641E-2</v>
      </c>
    </row>
    <row r="57" spans="1:12" s="1" customFormat="1" x14ac:dyDescent="0.3">
      <c r="A57" s="11" t="s">
        <v>64</v>
      </c>
      <c r="B57" s="11" t="s">
        <v>64</v>
      </c>
      <c r="C57" s="12" t="s">
        <v>371</v>
      </c>
      <c r="D57" s="35" t="s">
        <v>24</v>
      </c>
      <c r="E57" s="13">
        <v>6.95</v>
      </c>
      <c r="F57" s="13">
        <v>6.95</v>
      </c>
      <c r="G57" s="36">
        <f t="shared" si="4"/>
        <v>7.92</v>
      </c>
      <c r="H57" s="36">
        <f t="shared" si="5"/>
        <v>7.6499999999999995</v>
      </c>
      <c r="I57" s="36">
        <f t="shared" si="6"/>
        <v>8.2799999999999994</v>
      </c>
      <c r="J57" s="36">
        <f t="shared" si="7"/>
        <v>10.43</v>
      </c>
      <c r="K57" s="14" t="s">
        <v>252</v>
      </c>
      <c r="L57" s="15">
        <f>(-H57+G57)/G57</f>
        <v>3.4090909090909151E-2</v>
      </c>
    </row>
    <row r="58" spans="1:12" s="1" customFormat="1" x14ac:dyDescent="0.3">
      <c r="A58" s="11" t="s">
        <v>65</v>
      </c>
      <c r="B58" s="11" t="s">
        <v>65</v>
      </c>
      <c r="C58" s="12" t="s">
        <v>372</v>
      </c>
      <c r="D58" s="35" t="s">
        <v>24</v>
      </c>
      <c r="E58" s="13">
        <v>6.95</v>
      </c>
      <c r="F58" s="13">
        <v>6.95</v>
      </c>
      <c r="G58" s="36">
        <f t="shared" si="4"/>
        <v>7.92</v>
      </c>
      <c r="H58" s="36">
        <f t="shared" si="5"/>
        <v>7.6499999999999995</v>
      </c>
      <c r="I58" s="36">
        <f t="shared" si="6"/>
        <v>8.2799999999999994</v>
      </c>
      <c r="J58" s="36">
        <f t="shared" si="7"/>
        <v>10.43</v>
      </c>
      <c r="K58" s="14" t="s">
        <v>252</v>
      </c>
      <c r="L58" s="15">
        <f>(-H58+G58)/G58</f>
        <v>3.4090909090909151E-2</v>
      </c>
    </row>
    <row r="59" spans="1:12" s="1" customFormat="1" x14ac:dyDescent="0.3">
      <c r="A59" s="11" t="s">
        <v>66</v>
      </c>
      <c r="B59" s="11" t="s">
        <v>66</v>
      </c>
      <c r="C59" s="12" t="s">
        <v>373</v>
      </c>
      <c r="D59" s="35" t="s">
        <v>24</v>
      </c>
      <c r="E59" s="13">
        <v>21.15</v>
      </c>
      <c r="F59" s="13">
        <v>21.15</v>
      </c>
      <c r="G59" s="36">
        <f t="shared" si="4"/>
        <v>24.1</v>
      </c>
      <c r="H59" s="36">
        <f t="shared" si="5"/>
        <v>23.270000000000003</v>
      </c>
      <c r="I59" s="36">
        <f t="shared" si="6"/>
        <v>25.200000000000003</v>
      </c>
      <c r="J59" s="36">
        <f t="shared" si="7"/>
        <v>31.73</v>
      </c>
      <c r="K59" s="14" t="s">
        <v>253</v>
      </c>
      <c r="L59" s="15">
        <f>(-H59+G59)/G59</f>
        <v>3.4439834024896192E-2</v>
      </c>
    </row>
    <row r="60" spans="1:12" s="1" customFormat="1" x14ac:dyDescent="0.3">
      <c r="A60" s="11" t="s">
        <v>67</v>
      </c>
      <c r="B60" s="11" t="s">
        <v>67</v>
      </c>
      <c r="C60" s="12" t="s">
        <v>374</v>
      </c>
      <c r="D60" s="35" t="s">
        <v>24</v>
      </c>
      <c r="E60" s="13">
        <v>3.65</v>
      </c>
      <c r="F60" s="13">
        <v>3.65</v>
      </c>
      <c r="G60" s="36">
        <f t="shared" si="4"/>
        <v>4.16</v>
      </c>
      <c r="H60" s="36">
        <f t="shared" si="5"/>
        <v>4.0199999999999996</v>
      </c>
      <c r="I60" s="36">
        <f t="shared" si="6"/>
        <v>4.3499999999999996</v>
      </c>
      <c r="J60" s="36">
        <f t="shared" si="7"/>
        <v>5.4799999999999995</v>
      </c>
      <c r="K60" s="14" t="s">
        <v>254</v>
      </c>
      <c r="L60" s="15">
        <f>(-H60+G60)/G60</f>
        <v>3.3653846153846291E-2</v>
      </c>
    </row>
    <row r="61" spans="1:12" s="1" customFormat="1" x14ac:dyDescent="0.3">
      <c r="A61" s="11" t="s">
        <v>68</v>
      </c>
      <c r="B61" s="11" t="s">
        <v>68</v>
      </c>
      <c r="C61" s="12" t="s">
        <v>375</v>
      </c>
      <c r="D61" s="35" t="s">
        <v>24</v>
      </c>
      <c r="E61" s="13">
        <v>0.70000000000000007</v>
      </c>
      <c r="F61" s="13">
        <v>0.70000000000000007</v>
      </c>
      <c r="G61" s="36">
        <f t="shared" si="4"/>
        <v>0.8</v>
      </c>
      <c r="H61" s="36">
        <f t="shared" si="5"/>
        <v>0.77</v>
      </c>
      <c r="I61" s="36">
        <f t="shared" si="6"/>
        <v>0.84</v>
      </c>
      <c r="J61" s="36">
        <f t="shared" si="7"/>
        <v>1.05</v>
      </c>
      <c r="K61" s="14" t="s">
        <v>255</v>
      </c>
      <c r="L61" s="15">
        <f>(-H61+G61)/G61</f>
        <v>3.7500000000000033E-2</v>
      </c>
    </row>
    <row r="62" spans="1:12" s="1" customFormat="1" x14ac:dyDescent="0.3">
      <c r="A62" s="11" t="s">
        <v>69</v>
      </c>
      <c r="B62" s="11" t="s">
        <v>69</v>
      </c>
      <c r="C62" s="12" t="s">
        <v>376</v>
      </c>
      <c r="D62" s="35" t="s">
        <v>24</v>
      </c>
      <c r="E62" s="13">
        <v>2.35</v>
      </c>
      <c r="F62" s="13">
        <v>2.35</v>
      </c>
      <c r="G62" s="36">
        <f t="shared" si="4"/>
        <v>2.6799999999999997</v>
      </c>
      <c r="H62" s="36">
        <f t="shared" si="5"/>
        <v>2.59</v>
      </c>
      <c r="I62" s="36">
        <f t="shared" si="6"/>
        <v>2.8</v>
      </c>
      <c r="J62" s="36">
        <f t="shared" si="7"/>
        <v>3.53</v>
      </c>
      <c r="K62" s="14" t="s">
        <v>256</v>
      </c>
      <c r="L62" s="15">
        <f>(-H62+G62)/G62</f>
        <v>3.3582089552238757E-2</v>
      </c>
    </row>
    <row r="63" spans="1:12" s="1" customFormat="1" x14ac:dyDescent="0.3">
      <c r="A63" s="11" t="s">
        <v>70</v>
      </c>
      <c r="B63" s="11" t="s">
        <v>70</v>
      </c>
      <c r="C63" s="12" t="s">
        <v>377</v>
      </c>
      <c r="D63" s="35" t="s">
        <v>24</v>
      </c>
      <c r="E63" s="13">
        <v>1.5499999999999998</v>
      </c>
      <c r="F63" s="13">
        <v>1.5499999999999998</v>
      </c>
      <c r="G63" s="36">
        <f t="shared" si="4"/>
        <v>1.77</v>
      </c>
      <c r="H63" s="36">
        <f t="shared" si="5"/>
        <v>1.71</v>
      </c>
      <c r="I63" s="36">
        <f t="shared" si="6"/>
        <v>1.85</v>
      </c>
      <c r="J63" s="36">
        <f t="shared" si="7"/>
        <v>2.3299999999999996</v>
      </c>
      <c r="K63" s="14" t="s">
        <v>257</v>
      </c>
      <c r="L63" s="15">
        <f>(-H63+G63)/G63</f>
        <v>3.389830508474579E-2</v>
      </c>
    </row>
    <row r="64" spans="1:12" s="1" customFormat="1" x14ac:dyDescent="0.3">
      <c r="A64" s="11" t="s">
        <v>71</v>
      </c>
      <c r="B64" s="11" t="s">
        <v>71</v>
      </c>
      <c r="C64" s="12" t="s">
        <v>378</v>
      </c>
      <c r="D64" s="35" t="s">
        <v>24</v>
      </c>
      <c r="E64" s="13">
        <v>9.15</v>
      </c>
      <c r="F64" s="13">
        <v>9.15</v>
      </c>
      <c r="G64" s="36">
        <f t="shared" si="4"/>
        <v>10.43</v>
      </c>
      <c r="H64" s="36">
        <f t="shared" si="5"/>
        <v>10.07</v>
      </c>
      <c r="I64" s="36">
        <f t="shared" si="6"/>
        <v>10.9</v>
      </c>
      <c r="J64" s="36">
        <f t="shared" si="7"/>
        <v>13.73</v>
      </c>
      <c r="K64" s="14" t="s">
        <v>258</v>
      </c>
      <c r="L64" s="15">
        <f>(-H64+G64)/G64</f>
        <v>3.4515819750719025E-2</v>
      </c>
    </row>
    <row r="65" spans="1:12" s="1" customFormat="1" x14ac:dyDescent="0.3">
      <c r="A65" s="11" t="s">
        <v>72</v>
      </c>
      <c r="B65" s="11" t="s">
        <v>72</v>
      </c>
      <c r="C65" s="12" t="s">
        <v>379</v>
      </c>
      <c r="D65" s="35" t="s">
        <v>24</v>
      </c>
      <c r="E65" s="13">
        <v>11.15</v>
      </c>
      <c r="F65" s="13">
        <v>11.15</v>
      </c>
      <c r="G65" s="36">
        <f t="shared" si="4"/>
        <v>12.709999999999999</v>
      </c>
      <c r="H65" s="36">
        <f t="shared" si="5"/>
        <v>12.27</v>
      </c>
      <c r="I65" s="36">
        <f t="shared" si="6"/>
        <v>13.29</v>
      </c>
      <c r="J65" s="36">
        <f t="shared" si="7"/>
        <v>16.73</v>
      </c>
      <c r="K65" s="14" t="s">
        <v>259</v>
      </c>
      <c r="L65" s="15">
        <f>(-H65+G65)/G65</f>
        <v>3.4618410700235996E-2</v>
      </c>
    </row>
    <row r="66" spans="1:12" s="1" customFormat="1" x14ac:dyDescent="0.3">
      <c r="A66" s="11" t="s">
        <v>73</v>
      </c>
      <c r="B66" s="11" t="s">
        <v>73</v>
      </c>
      <c r="C66" s="12" t="s">
        <v>380</v>
      </c>
      <c r="D66" s="35" t="s">
        <v>24</v>
      </c>
      <c r="E66" s="13">
        <v>2.9499999999999997</v>
      </c>
      <c r="F66" s="13">
        <v>2.9499999999999997</v>
      </c>
      <c r="G66" s="36">
        <f t="shared" si="4"/>
        <v>3.3699999999999997</v>
      </c>
      <c r="H66" s="36">
        <f t="shared" si="5"/>
        <v>3.25</v>
      </c>
      <c r="I66" s="36">
        <f t="shared" si="6"/>
        <v>3.5199999999999996</v>
      </c>
      <c r="J66" s="36">
        <f t="shared" si="7"/>
        <v>4.43</v>
      </c>
      <c r="K66" s="14" t="s">
        <v>260</v>
      </c>
      <c r="L66" s="15">
        <f>(-H66+G66)/G66</f>
        <v>3.560830860534115E-2</v>
      </c>
    </row>
    <row r="67" spans="1:12" s="1" customFormat="1" x14ac:dyDescent="0.3">
      <c r="A67" s="11" t="s">
        <v>74</v>
      </c>
      <c r="B67" s="11" t="s">
        <v>74</v>
      </c>
      <c r="C67" s="12" t="s">
        <v>381</v>
      </c>
      <c r="D67" s="35" t="s">
        <v>24</v>
      </c>
      <c r="E67" s="13">
        <v>3.65</v>
      </c>
      <c r="F67" s="13">
        <v>3.65</v>
      </c>
      <c r="G67" s="36">
        <f t="shared" si="4"/>
        <v>4.16</v>
      </c>
      <c r="H67" s="36">
        <f t="shared" si="5"/>
        <v>4.0199999999999996</v>
      </c>
      <c r="I67" s="36">
        <f t="shared" si="6"/>
        <v>4.3499999999999996</v>
      </c>
      <c r="J67" s="36">
        <f t="shared" si="7"/>
        <v>5.4799999999999995</v>
      </c>
      <c r="K67" s="14" t="s">
        <v>254</v>
      </c>
      <c r="L67" s="15">
        <f>(-H67+G67)/G67</f>
        <v>3.3653846153846291E-2</v>
      </c>
    </row>
    <row r="68" spans="1:12" s="1" customFormat="1" x14ac:dyDescent="0.3">
      <c r="A68" s="11" t="s">
        <v>75</v>
      </c>
      <c r="B68" s="11" t="s">
        <v>75</v>
      </c>
      <c r="C68" s="12" t="s">
        <v>382</v>
      </c>
      <c r="D68" s="35" t="s">
        <v>24</v>
      </c>
      <c r="E68" s="13">
        <v>5.65</v>
      </c>
      <c r="F68" s="13">
        <v>5.65</v>
      </c>
      <c r="G68" s="36">
        <f t="shared" si="4"/>
        <v>6.4399999999999995</v>
      </c>
      <c r="H68" s="36">
        <f t="shared" si="5"/>
        <v>6.22</v>
      </c>
      <c r="I68" s="36">
        <f t="shared" si="6"/>
        <v>6.7299999999999995</v>
      </c>
      <c r="J68" s="36">
        <f t="shared" si="7"/>
        <v>8.48</v>
      </c>
      <c r="K68" s="14" t="s">
        <v>261</v>
      </c>
      <c r="L68" s="15">
        <f>(-H68+G68)/G68</f>
        <v>3.4161490683229781E-2</v>
      </c>
    </row>
    <row r="69" spans="1:12" s="1" customFormat="1" x14ac:dyDescent="0.3">
      <c r="A69" s="11" t="s">
        <v>76</v>
      </c>
      <c r="B69" s="11" t="s">
        <v>76</v>
      </c>
      <c r="C69" s="12" t="s">
        <v>383</v>
      </c>
      <c r="D69" s="35" t="s">
        <v>24</v>
      </c>
      <c r="E69" s="13">
        <v>7.15</v>
      </c>
      <c r="F69" s="13">
        <v>7.15</v>
      </c>
      <c r="G69" s="36">
        <f t="shared" si="4"/>
        <v>8.15</v>
      </c>
      <c r="H69" s="36">
        <f t="shared" si="5"/>
        <v>7.87</v>
      </c>
      <c r="I69" s="36">
        <f t="shared" si="6"/>
        <v>8.52</v>
      </c>
      <c r="J69" s="36">
        <f t="shared" si="7"/>
        <v>10.73</v>
      </c>
      <c r="K69" s="14" t="s">
        <v>262</v>
      </c>
      <c r="L69" s="15">
        <f>(-H69+G69)/G69</f>
        <v>3.4355828220858926E-2</v>
      </c>
    </row>
    <row r="70" spans="1:12" s="1" customFormat="1" x14ac:dyDescent="0.3">
      <c r="A70" s="11" t="s">
        <v>77</v>
      </c>
      <c r="B70" s="11" t="s">
        <v>77</v>
      </c>
      <c r="C70" s="12" t="s">
        <v>384</v>
      </c>
      <c r="D70" s="35" t="s">
        <v>24</v>
      </c>
      <c r="E70" s="13">
        <v>8.9500000000000011</v>
      </c>
      <c r="F70" s="13">
        <v>8.9500000000000011</v>
      </c>
      <c r="G70" s="36">
        <f t="shared" si="4"/>
        <v>10.199999999999999</v>
      </c>
      <c r="H70" s="36">
        <f t="shared" si="5"/>
        <v>9.85</v>
      </c>
      <c r="I70" s="36">
        <f t="shared" si="6"/>
        <v>10.67</v>
      </c>
      <c r="J70" s="36">
        <f t="shared" si="7"/>
        <v>13.43</v>
      </c>
      <c r="K70" s="14" t="s">
        <v>263</v>
      </c>
      <c r="L70" s="15">
        <f>(-H70+G70)/G70</f>
        <v>3.4313725490196047E-2</v>
      </c>
    </row>
    <row r="71" spans="1:12" s="1" customFormat="1" x14ac:dyDescent="0.3">
      <c r="A71" s="11" t="s">
        <v>78</v>
      </c>
      <c r="B71" s="11" t="s">
        <v>78</v>
      </c>
      <c r="C71" s="12" t="s">
        <v>385</v>
      </c>
      <c r="D71" s="35" t="s">
        <v>24</v>
      </c>
      <c r="E71" s="13">
        <v>20.149999999999999</v>
      </c>
      <c r="F71" s="13">
        <v>20.149999999999999</v>
      </c>
      <c r="G71" s="36">
        <f t="shared" si="4"/>
        <v>22.96</v>
      </c>
      <c r="H71" s="36">
        <f t="shared" si="5"/>
        <v>22.17</v>
      </c>
      <c r="I71" s="36">
        <f t="shared" si="6"/>
        <v>24.01</v>
      </c>
      <c r="J71" s="36">
        <f t="shared" si="7"/>
        <v>30.23</v>
      </c>
      <c r="K71" s="14" t="s">
        <v>264</v>
      </c>
      <c r="L71" s="15">
        <f>(-H71+G71)/G71</f>
        <v>3.4407665505226441E-2</v>
      </c>
    </row>
    <row r="72" spans="1:12" s="1" customFormat="1" x14ac:dyDescent="0.3">
      <c r="A72" s="11" t="s">
        <v>79</v>
      </c>
      <c r="B72" s="11" t="s">
        <v>79</v>
      </c>
      <c r="C72" s="12" t="s">
        <v>386</v>
      </c>
      <c r="D72" s="35" t="s">
        <v>24</v>
      </c>
      <c r="E72" s="13">
        <v>3.65</v>
      </c>
      <c r="F72" s="13">
        <v>3.65</v>
      </c>
      <c r="G72" s="36">
        <f t="shared" si="4"/>
        <v>4.16</v>
      </c>
      <c r="H72" s="36">
        <f t="shared" si="5"/>
        <v>4.0199999999999996</v>
      </c>
      <c r="I72" s="36">
        <f t="shared" si="6"/>
        <v>4.3499999999999996</v>
      </c>
      <c r="J72" s="36">
        <f t="shared" si="7"/>
        <v>5.4799999999999995</v>
      </c>
      <c r="K72" s="14" t="s">
        <v>254</v>
      </c>
      <c r="L72" s="15">
        <f>(-H72+G72)/G72</f>
        <v>3.3653846153846291E-2</v>
      </c>
    </row>
    <row r="73" spans="1:12" s="1" customFormat="1" x14ac:dyDescent="0.3">
      <c r="A73" s="11" t="s">
        <v>80</v>
      </c>
      <c r="B73" s="11" t="s">
        <v>80</v>
      </c>
      <c r="C73" s="12" t="s">
        <v>387</v>
      </c>
      <c r="D73" s="35" t="s">
        <v>24</v>
      </c>
      <c r="E73" s="13">
        <v>5.15</v>
      </c>
      <c r="F73" s="13">
        <v>5.15</v>
      </c>
      <c r="G73" s="36">
        <f t="shared" si="4"/>
        <v>5.87</v>
      </c>
      <c r="H73" s="36">
        <f t="shared" si="5"/>
        <v>5.67</v>
      </c>
      <c r="I73" s="36">
        <f t="shared" si="6"/>
        <v>6.14</v>
      </c>
      <c r="J73" s="36">
        <f t="shared" si="7"/>
        <v>7.7299999999999995</v>
      </c>
      <c r="K73" s="14" t="s">
        <v>265</v>
      </c>
      <c r="L73" s="15">
        <f>(-H73+G73)/G73</f>
        <v>3.4071550255536653E-2</v>
      </c>
    </row>
    <row r="74" spans="1:12" s="1" customFormat="1" x14ac:dyDescent="0.3">
      <c r="A74" s="11" t="s">
        <v>81</v>
      </c>
      <c r="B74" s="11" t="s">
        <v>81</v>
      </c>
      <c r="C74" s="12" t="s">
        <v>388</v>
      </c>
      <c r="D74" s="35" t="s">
        <v>24</v>
      </c>
      <c r="E74" s="13">
        <v>4.6500000000000004</v>
      </c>
      <c r="F74" s="13">
        <v>4.6500000000000004</v>
      </c>
      <c r="G74" s="36">
        <f t="shared" si="4"/>
        <v>5.3</v>
      </c>
      <c r="H74" s="36">
        <f t="shared" si="5"/>
        <v>5.12</v>
      </c>
      <c r="I74" s="36">
        <f t="shared" si="6"/>
        <v>5.54</v>
      </c>
      <c r="J74" s="36">
        <f t="shared" si="7"/>
        <v>6.9799999999999995</v>
      </c>
      <c r="K74" s="14" t="s">
        <v>266</v>
      </c>
      <c r="L74" s="15">
        <f>(-H74+G74)/G74</f>
        <v>3.3962264150943347E-2</v>
      </c>
    </row>
    <row r="75" spans="1:12" s="1" customFormat="1" x14ac:dyDescent="0.3">
      <c r="A75" s="11" t="s">
        <v>82</v>
      </c>
      <c r="B75" s="11" t="s">
        <v>82</v>
      </c>
      <c r="C75" s="12" t="s">
        <v>389</v>
      </c>
      <c r="D75" s="35" t="s">
        <v>24</v>
      </c>
      <c r="E75" s="13">
        <v>1.95</v>
      </c>
      <c r="F75" s="13">
        <v>1.95</v>
      </c>
      <c r="G75" s="36">
        <f t="shared" si="4"/>
        <v>2.23</v>
      </c>
      <c r="H75" s="36">
        <f t="shared" si="5"/>
        <v>2.15</v>
      </c>
      <c r="I75" s="36">
        <f t="shared" si="6"/>
        <v>2.3299999999999996</v>
      </c>
      <c r="J75" s="36">
        <f t="shared" si="7"/>
        <v>2.9299999999999997</v>
      </c>
      <c r="K75" s="14" t="s">
        <v>267</v>
      </c>
      <c r="L75" s="15">
        <f>(-H75+G75)/G75</f>
        <v>3.5874439461883442E-2</v>
      </c>
    </row>
    <row r="76" spans="1:12" s="1" customFormat="1" x14ac:dyDescent="0.3">
      <c r="A76" s="11" t="s">
        <v>83</v>
      </c>
      <c r="B76" s="11" t="s">
        <v>83</v>
      </c>
      <c r="C76" s="12" t="s">
        <v>390</v>
      </c>
      <c r="D76" s="35" t="s">
        <v>24</v>
      </c>
      <c r="E76" s="13">
        <v>18.149999999999999</v>
      </c>
      <c r="F76" s="13">
        <v>18.149999999999999</v>
      </c>
      <c r="G76" s="36">
        <f t="shared" si="4"/>
        <v>20.680000000000003</v>
      </c>
      <c r="H76" s="36">
        <f t="shared" si="5"/>
        <v>19.970000000000002</v>
      </c>
      <c r="I76" s="36">
        <f t="shared" si="6"/>
        <v>21.62</v>
      </c>
      <c r="J76" s="36">
        <f t="shared" si="7"/>
        <v>27.23</v>
      </c>
      <c r="K76" s="14" t="s">
        <v>268</v>
      </c>
      <c r="L76" s="15">
        <f>(-H76+G76)/G76</f>
        <v>3.4332688588007775E-2</v>
      </c>
    </row>
    <row r="77" spans="1:12" s="1" customFormat="1" x14ac:dyDescent="0.3">
      <c r="A77" s="11" t="s">
        <v>84</v>
      </c>
      <c r="B77" s="11" t="s">
        <v>84</v>
      </c>
      <c r="C77" s="12" t="s">
        <v>391</v>
      </c>
      <c r="D77" s="35" t="s">
        <v>24</v>
      </c>
      <c r="E77" s="13">
        <v>9.65</v>
      </c>
      <c r="F77" s="13">
        <v>9.65</v>
      </c>
      <c r="G77" s="36">
        <f t="shared" si="4"/>
        <v>11</v>
      </c>
      <c r="H77" s="36">
        <f t="shared" si="5"/>
        <v>10.62</v>
      </c>
      <c r="I77" s="36">
        <f t="shared" si="6"/>
        <v>11.5</v>
      </c>
      <c r="J77" s="36">
        <f t="shared" si="7"/>
        <v>14.48</v>
      </c>
      <c r="K77" s="14" t="s">
        <v>269</v>
      </c>
      <c r="L77" s="15">
        <f>(-H77+G77)/G77</f>
        <v>3.4545454545454615E-2</v>
      </c>
    </row>
    <row r="78" spans="1:12" s="1" customFormat="1" x14ac:dyDescent="0.3">
      <c r="A78" s="11" t="s">
        <v>85</v>
      </c>
      <c r="B78" s="11" t="s">
        <v>85</v>
      </c>
      <c r="C78" s="12" t="s">
        <v>392</v>
      </c>
      <c r="D78" s="35" t="s">
        <v>24</v>
      </c>
      <c r="E78" s="13">
        <v>2.15</v>
      </c>
      <c r="F78" s="13">
        <v>2.15</v>
      </c>
      <c r="G78" s="36">
        <f t="shared" si="4"/>
        <v>2.4499999999999997</v>
      </c>
      <c r="H78" s="36">
        <f t="shared" si="5"/>
        <v>2.3699999999999997</v>
      </c>
      <c r="I78" s="36">
        <f t="shared" si="6"/>
        <v>2.57</v>
      </c>
      <c r="J78" s="36">
        <f t="shared" si="7"/>
        <v>3.23</v>
      </c>
      <c r="K78" s="14" t="s">
        <v>270</v>
      </c>
      <c r="L78" s="15">
        <f>(-H78+G78)/G78</f>
        <v>3.2653061224489827E-2</v>
      </c>
    </row>
    <row r="79" spans="1:12" s="1" customFormat="1" x14ac:dyDescent="0.3">
      <c r="A79" s="11" t="s">
        <v>86</v>
      </c>
      <c r="B79" s="11" t="s">
        <v>86</v>
      </c>
      <c r="C79" s="12" t="s">
        <v>393</v>
      </c>
      <c r="D79" s="35" t="s">
        <v>24</v>
      </c>
      <c r="E79" s="13">
        <v>14.15</v>
      </c>
      <c r="F79" s="13">
        <v>14.15</v>
      </c>
      <c r="G79" s="36">
        <f t="shared" si="4"/>
        <v>16.130000000000003</v>
      </c>
      <c r="H79" s="36">
        <f t="shared" si="5"/>
        <v>15.57</v>
      </c>
      <c r="I79" s="36">
        <f t="shared" si="6"/>
        <v>16.860000000000003</v>
      </c>
      <c r="J79" s="36">
        <f t="shared" si="7"/>
        <v>21.23</v>
      </c>
      <c r="K79" s="14" t="s">
        <v>271</v>
      </c>
      <c r="L79" s="15">
        <f>(-H79+G79)/G79</f>
        <v>3.4717916924984639E-2</v>
      </c>
    </row>
    <row r="80" spans="1:12" s="1" customFormat="1" x14ac:dyDescent="0.3">
      <c r="A80" s="11" t="s">
        <v>87</v>
      </c>
      <c r="B80" s="11" t="s">
        <v>87</v>
      </c>
      <c r="C80" s="12" t="s">
        <v>394</v>
      </c>
      <c r="D80" s="35" t="s">
        <v>24</v>
      </c>
      <c r="E80" s="13">
        <v>6.15</v>
      </c>
      <c r="F80" s="13">
        <v>6.15</v>
      </c>
      <c r="G80" s="36">
        <f t="shared" si="4"/>
        <v>7.01</v>
      </c>
      <c r="H80" s="36">
        <f t="shared" si="5"/>
        <v>6.77</v>
      </c>
      <c r="I80" s="36">
        <f t="shared" si="6"/>
        <v>7.33</v>
      </c>
      <c r="J80" s="36">
        <f t="shared" si="7"/>
        <v>9.23</v>
      </c>
      <c r="K80" s="14" t="s">
        <v>272</v>
      </c>
      <c r="L80" s="15">
        <f>(-H80+G80)/G80</f>
        <v>3.4236804564907304E-2</v>
      </c>
    </row>
    <row r="81" spans="1:12" s="1" customFormat="1" x14ac:dyDescent="0.3">
      <c r="A81" s="11" t="s">
        <v>88</v>
      </c>
      <c r="B81" s="11" t="s">
        <v>88</v>
      </c>
      <c r="C81" s="12" t="s">
        <v>395</v>
      </c>
      <c r="D81" s="35" t="s">
        <v>24</v>
      </c>
      <c r="E81" s="13">
        <v>6.15</v>
      </c>
      <c r="F81" s="13">
        <v>6.15</v>
      </c>
      <c r="G81" s="36">
        <f t="shared" si="4"/>
        <v>7.01</v>
      </c>
      <c r="H81" s="36">
        <f t="shared" si="5"/>
        <v>6.77</v>
      </c>
      <c r="I81" s="36">
        <f t="shared" si="6"/>
        <v>7.33</v>
      </c>
      <c r="J81" s="36">
        <f t="shared" si="7"/>
        <v>9.23</v>
      </c>
      <c r="K81" s="14" t="s">
        <v>272</v>
      </c>
      <c r="L81" s="15">
        <f>(-H81+G81)/G81</f>
        <v>3.4236804564907304E-2</v>
      </c>
    </row>
    <row r="82" spans="1:12" s="1" customFormat="1" x14ac:dyDescent="0.3">
      <c r="A82" s="11" t="s">
        <v>89</v>
      </c>
      <c r="B82" s="11" t="s">
        <v>89</v>
      </c>
      <c r="C82" s="12" t="s">
        <v>396</v>
      </c>
      <c r="D82" s="35" t="s">
        <v>24</v>
      </c>
      <c r="E82" s="13">
        <v>2.15</v>
      </c>
      <c r="F82" s="13">
        <v>2.15</v>
      </c>
      <c r="G82" s="36">
        <f t="shared" si="4"/>
        <v>2.4499999999999997</v>
      </c>
      <c r="H82" s="36">
        <f t="shared" si="5"/>
        <v>2.3699999999999997</v>
      </c>
      <c r="I82" s="36">
        <f t="shared" si="6"/>
        <v>2.57</v>
      </c>
      <c r="J82" s="36">
        <f t="shared" si="7"/>
        <v>3.23</v>
      </c>
      <c r="K82" s="14" t="s">
        <v>270</v>
      </c>
      <c r="L82" s="15">
        <f>(-H82+G82)/G82</f>
        <v>3.2653061224489827E-2</v>
      </c>
    </row>
    <row r="83" spans="1:12" s="1" customFormat="1" x14ac:dyDescent="0.3">
      <c r="A83" s="11" t="s">
        <v>90</v>
      </c>
      <c r="B83" s="11" t="s">
        <v>90</v>
      </c>
      <c r="C83" s="12" t="s">
        <v>397</v>
      </c>
      <c r="D83" s="35" t="s">
        <v>24</v>
      </c>
      <c r="E83" s="13">
        <v>2.35</v>
      </c>
      <c r="F83" s="13">
        <v>2.35</v>
      </c>
      <c r="G83" s="36">
        <f t="shared" si="4"/>
        <v>2.6799999999999997</v>
      </c>
      <c r="H83" s="36">
        <f t="shared" si="5"/>
        <v>2.59</v>
      </c>
      <c r="I83" s="36">
        <f t="shared" si="6"/>
        <v>2.8</v>
      </c>
      <c r="J83" s="36">
        <f t="shared" si="7"/>
        <v>3.53</v>
      </c>
      <c r="K83" s="14" t="s">
        <v>256</v>
      </c>
      <c r="L83" s="15">
        <f>(-H83+G83)/G83</f>
        <v>3.3582089552238757E-2</v>
      </c>
    </row>
    <row r="84" spans="1:12" s="1" customFormat="1" x14ac:dyDescent="0.3">
      <c r="A84" s="11" t="s">
        <v>91</v>
      </c>
      <c r="B84" s="11" t="s">
        <v>91</v>
      </c>
      <c r="C84" s="12" t="s">
        <v>398</v>
      </c>
      <c r="D84" s="35" t="s">
        <v>24</v>
      </c>
      <c r="E84" s="13">
        <v>3.35</v>
      </c>
      <c r="F84" s="13">
        <v>3.35</v>
      </c>
      <c r="G84" s="36">
        <f t="shared" si="4"/>
        <v>3.82</v>
      </c>
      <c r="H84" s="36">
        <f t="shared" si="5"/>
        <v>3.69</v>
      </c>
      <c r="I84" s="36">
        <f t="shared" si="6"/>
        <v>4</v>
      </c>
      <c r="J84" s="36">
        <f t="shared" si="7"/>
        <v>5.0299999999999994</v>
      </c>
      <c r="K84" s="14" t="s">
        <v>273</v>
      </c>
      <c r="L84" s="15">
        <f>(-H84+G84)/G84</f>
        <v>3.4031413612565418E-2</v>
      </c>
    </row>
    <row r="85" spans="1:12" s="1" customFormat="1" x14ac:dyDescent="0.3">
      <c r="A85" s="11" t="s">
        <v>92</v>
      </c>
      <c r="B85" s="11" t="s">
        <v>92</v>
      </c>
      <c r="C85" s="12" t="s">
        <v>399</v>
      </c>
      <c r="D85" s="35" t="s">
        <v>24</v>
      </c>
      <c r="E85" s="13">
        <v>6.3500000000000005</v>
      </c>
      <c r="F85" s="13">
        <v>6.3500000000000005</v>
      </c>
      <c r="G85" s="36">
        <f t="shared" si="4"/>
        <v>7.24</v>
      </c>
      <c r="H85" s="36">
        <f t="shared" si="5"/>
        <v>6.99</v>
      </c>
      <c r="I85" s="36">
        <f t="shared" si="6"/>
        <v>7.5699999999999994</v>
      </c>
      <c r="J85" s="36">
        <f t="shared" si="7"/>
        <v>9.5299999999999994</v>
      </c>
      <c r="K85" s="14" t="s">
        <v>274</v>
      </c>
      <c r="L85" s="15">
        <f>(-H85+G85)/G85</f>
        <v>3.4530386740331494E-2</v>
      </c>
    </row>
    <row r="86" spans="1:12" s="1" customFormat="1" x14ac:dyDescent="0.3">
      <c r="A86" s="11" t="s">
        <v>93</v>
      </c>
      <c r="B86" s="11" t="s">
        <v>93</v>
      </c>
      <c r="C86" s="12" t="s">
        <v>400</v>
      </c>
      <c r="D86" s="35" t="s">
        <v>24</v>
      </c>
      <c r="E86" s="13">
        <v>7.15</v>
      </c>
      <c r="F86" s="13">
        <v>7.15</v>
      </c>
      <c r="G86" s="36">
        <f t="shared" si="4"/>
        <v>8.15</v>
      </c>
      <c r="H86" s="36">
        <f t="shared" si="5"/>
        <v>7.87</v>
      </c>
      <c r="I86" s="36">
        <f t="shared" si="6"/>
        <v>8.52</v>
      </c>
      <c r="J86" s="36">
        <f t="shared" si="7"/>
        <v>10.73</v>
      </c>
      <c r="K86" s="14" t="s">
        <v>262</v>
      </c>
      <c r="L86" s="15">
        <f>(-H86+G86)/G86</f>
        <v>3.4355828220858926E-2</v>
      </c>
    </row>
    <row r="87" spans="1:12" s="1" customFormat="1" x14ac:dyDescent="0.3">
      <c r="A87" s="11" t="s">
        <v>94</v>
      </c>
      <c r="B87" s="11" t="s">
        <v>94</v>
      </c>
      <c r="C87" s="12" t="s">
        <v>401</v>
      </c>
      <c r="D87" s="35" t="s">
        <v>35</v>
      </c>
      <c r="E87" s="13">
        <v>10</v>
      </c>
      <c r="F87" s="13">
        <v>10</v>
      </c>
      <c r="G87" s="36">
        <f t="shared" si="4"/>
        <v>11.4</v>
      </c>
      <c r="H87" s="36">
        <f t="shared" si="5"/>
        <v>11</v>
      </c>
      <c r="I87" s="36">
        <f t="shared" si="6"/>
        <v>11.92</v>
      </c>
      <c r="J87" s="36">
        <f t="shared" si="7"/>
        <v>15</v>
      </c>
      <c r="K87" s="14" t="s">
        <v>275</v>
      </c>
      <c r="L87" s="15">
        <f>(-H87+G87)/G87</f>
        <v>3.5087719298245647E-2</v>
      </c>
    </row>
    <row r="88" spans="1:12" s="1" customFormat="1" x14ac:dyDescent="0.3">
      <c r="A88" s="11" t="s">
        <v>95</v>
      </c>
      <c r="B88" s="11" t="s">
        <v>95</v>
      </c>
      <c r="C88" s="16" t="s">
        <v>402</v>
      </c>
      <c r="D88" s="37" t="s">
        <v>24</v>
      </c>
      <c r="E88" s="19">
        <v>60</v>
      </c>
      <c r="F88" s="19">
        <v>60</v>
      </c>
      <c r="G88" s="38">
        <f t="shared" si="4"/>
        <v>68.36</v>
      </c>
      <c r="H88" s="38">
        <f t="shared" si="5"/>
        <v>66</v>
      </c>
      <c r="I88" s="38">
        <f t="shared" si="6"/>
        <v>71.47</v>
      </c>
      <c r="J88" s="38">
        <f t="shared" si="7"/>
        <v>90</v>
      </c>
      <c r="K88" s="22" t="s">
        <v>276</v>
      </c>
      <c r="L88" s="6">
        <f>(-H88+G88)/G88</f>
        <v>3.4523112931538903E-2</v>
      </c>
    </row>
    <row r="89" spans="1:12" s="1" customFormat="1" x14ac:dyDescent="0.3">
      <c r="A89" s="11" t="s">
        <v>96</v>
      </c>
      <c r="B89" s="11" t="s">
        <v>96</v>
      </c>
      <c r="C89" s="16" t="s">
        <v>403</v>
      </c>
      <c r="D89" s="37" t="s">
        <v>24</v>
      </c>
      <c r="E89" s="19">
        <v>20</v>
      </c>
      <c r="F89" s="19">
        <v>19.2</v>
      </c>
      <c r="G89" s="38">
        <f t="shared" si="4"/>
        <v>22.790000000000003</v>
      </c>
      <c r="H89" s="38">
        <f t="shared" si="5"/>
        <v>21.12</v>
      </c>
      <c r="I89" s="38">
        <f t="shared" si="6"/>
        <v>23.830000000000002</v>
      </c>
      <c r="J89" s="38">
        <f t="shared" si="7"/>
        <v>28.8</v>
      </c>
      <c r="K89" s="22" t="s">
        <v>277</v>
      </c>
      <c r="L89" s="6">
        <f>(-H89+G89)/G89</f>
        <v>7.3277753400614376E-2</v>
      </c>
    </row>
    <row r="90" spans="1:12" s="1" customFormat="1" x14ac:dyDescent="0.3">
      <c r="A90" s="11" t="s">
        <v>97</v>
      </c>
      <c r="B90" s="11" t="s">
        <v>97</v>
      </c>
      <c r="C90" s="16"/>
      <c r="D90" s="37"/>
      <c r="E90" s="19"/>
      <c r="F90" s="19"/>
      <c r="G90" s="38"/>
      <c r="H90" s="38"/>
      <c r="I90" s="38"/>
      <c r="J90" s="38"/>
      <c r="K90" s="22" t="s">
        <v>278</v>
      </c>
      <c r="L90" s="6"/>
    </row>
    <row r="91" spans="1:12" s="1" customFormat="1" x14ac:dyDescent="0.3">
      <c r="A91" s="11" t="s">
        <v>98</v>
      </c>
      <c r="B91" s="11" t="s">
        <v>98</v>
      </c>
      <c r="C91" s="16"/>
      <c r="D91" s="37"/>
      <c r="E91" s="19"/>
      <c r="F91" s="19"/>
      <c r="G91" s="38"/>
      <c r="H91" s="38"/>
      <c r="I91" s="38"/>
      <c r="J91" s="38"/>
      <c r="K91" s="22" t="s">
        <v>278</v>
      </c>
      <c r="L91" s="6"/>
    </row>
    <row r="92" spans="1:12" s="1" customFormat="1" x14ac:dyDescent="0.3">
      <c r="A92" s="11" t="s">
        <v>99</v>
      </c>
      <c r="B92" s="11" t="s">
        <v>99</v>
      </c>
      <c r="C92" s="16"/>
      <c r="D92" s="37"/>
      <c r="E92" s="19"/>
      <c r="F92" s="19"/>
      <c r="G92" s="38"/>
      <c r="H92" s="38"/>
      <c r="I92" s="38"/>
      <c r="J92" s="38"/>
      <c r="K92" s="22" t="s">
        <v>278</v>
      </c>
      <c r="L92" s="6"/>
    </row>
    <row r="93" spans="1:12" s="1" customFormat="1" x14ac:dyDescent="0.3">
      <c r="A93" s="11" t="s">
        <v>100</v>
      </c>
      <c r="B93" s="11" t="s">
        <v>100</v>
      </c>
      <c r="C93" s="16"/>
      <c r="D93" s="37"/>
      <c r="E93" s="19"/>
      <c r="F93" s="19"/>
      <c r="G93" s="38"/>
      <c r="H93" s="38"/>
      <c r="I93" s="38"/>
      <c r="J93" s="38"/>
      <c r="K93" s="22" t="s">
        <v>278</v>
      </c>
      <c r="L93" s="6"/>
    </row>
    <row r="94" spans="1:12" s="1" customFormat="1" x14ac:dyDescent="0.3">
      <c r="A94" s="11" t="s">
        <v>101</v>
      </c>
      <c r="B94" s="11" t="s">
        <v>101</v>
      </c>
      <c r="C94" s="16"/>
      <c r="D94" s="37"/>
      <c r="E94" s="19"/>
      <c r="F94" s="19"/>
      <c r="G94" s="38"/>
      <c r="H94" s="38"/>
      <c r="I94" s="38"/>
      <c r="J94" s="38"/>
      <c r="K94" s="22" t="s">
        <v>278</v>
      </c>
      <c r="L94" s="6"/>
    </row>
    <row r="95" spans="1:12" s="1" customFormat="1" x14ac:dyDescent="0.3">
      <c r="A95" s="11" t="s">
        <v>102</v>
      </c>
      <c r="B95" s="11" t="s">
        <v>102</v>
      </c>
      <c r="C95" s="16"/>
      <c r="D95" s="37"/>
      <c r="E95" s="19"/>
      <c r="F95" s="19"/>
      <c r="G95" s="38"/>
      <c r="H95" s="38"/>
      <c r="I95" s="38"/>
      <c r="J95" s="38"/>
      <c r="K95" s="22" t="s">
        <v>278</v>
      </c>
      <c r="L95" s="6"/>
    </row>
    <row r="96" spans="1:12" s="1" customFormat="1" x14ac:dyDescent="0.3">
      <c r="A96" s="11" t="s">
        <v>103</v>
      </c>
      <c r="B96" s="11" t="s">
        <v>103</v>
      </c>
      <c r="C96" s="16"/>
      <c r="D96" s="37"/>
      <c r="E96" s="19"/>
      <c r="F96" s="19"/>
      <c r="G96" s="38"/>
      <c r="H96" s="38"/>
      <c r="I96" s="38"/>
      <c r="J96" s="38"/>
      <c r="K96" s="22" t="s">
        <v>278</v>
      </c>
      <c r="L96" s="6"/>
    </row>
    <row r="97" spans="1:12" s="1" customFormat="1" x14ac:dyDescent="0.3">
      <c r="A97" s="11" t="s">
        <v>104</v>
      </c>
      <c r="B97" s="11" t="s">
        <v>104</v>
      </c>
      <c r="C97" s="16"/>
      <c r="D97" s="37"/>
      <c r="E97" s="19"/>
      <c r="F97" s="19"/>
      <c r="G97" s="38"/>
      <c r="H97" s="38"/>
      <c r="I97" s="38"/>
      <c r="J97" s="38"/>
      <c r="K97" s="22" t="s">
        <v>278</v>
      </c>
      <c r="L97" s="6"/>
    </row>
    <row r="98" spans="1:12" s="1" customFormat="1" x14ac:dyDescent="0.3">
      <c r="A98" s="11" t="s">
        <v>105</v>
      </c>
      <c r="B98" s="11" t="s">
        <v>105</v>
      </c>
      <c r="C98" s="16"/>
      <c r="D98" s="37"/>
      <c r="E98" s="19"/>
      <c r="F98" s="19"/>
      <c r="G98" s="38"/>
      <c r="H98" s="38"/>
      <c r="I98" s="38"/>
      <c r="J98" s="38"/>
      <c r="K98" s="22" t="s">
        <v>278</v>
      </c>
      <c r="L98" s="6"/>
    </row>
    <row r="99" spans="1:12" s="1" customFormat="1" x14ac:dyDescent="0.3">
      <c r="A99" s="11" t="s">
        <v>214</v>
      </c>
      <c r="B99" s="11" t="s">
        <v>214</v>
      </c>
      <c r="C99" s="16"/>
      <c r="D99" s="37"/>
      <c r="E99" s="19"/>
      <c r="F99" s="19"/>
      <c r="G99" s="38"/>
      <c r="H99" s="38"/>
      <c r="I99" s="38"/>
      <c r="J99" s="38"/>
      <c r="K99" s="17" t="s">
        <v>278</v>
      </c>
      <c r="L99" s="6"/>
    </row>
    <row r="100" spans="1:12" s="1" customFormat="1" ht="21" x14ac:dyDescent="0.4">
      <c r="A100" s="10"/>
      <c r="B100" s="10"/>
      <c r="C100" s="39" t="s">
        <v>106</v>
      </c>
      <c r="D100" s="37"/>
      <c r="E100" s="19"/>
      <c r="F100" s="19"/>
      <c r="G100" s="38"/>
      <c r="H100" s="38"/>
      <c r="I100" s="38"/>
      <c r="J100" s="38"/>
      <c r="K100" s="17" t="s">
        <v>278</v>
      </c>
      <c r="L100" s="6"/>
    </row>
    <row r="101" spans="1:12" s="1" customFormat="1" x14ac:dyDescent="0.3">
      <c r="A101" s="11" t="s">
        <v>107</v>
      </c>
      <c r="B101" s="11" t="s">
        <v>107</v>
      </c>
      <c r="C101" s="16" t="s">
        <v>404</v>
      </c>
      <c r="D101" s="37" t="s">
        <v>108</v>
      </c>
      <c r="E101" s="19">
        <v>7.7394999999999996</v>
      </c>
      <c r="F101" s="19">
        <v>7.4299199999999992</v>
      </c>
      <c r="G101" s="38">
        <f t="shared" ref="G101:G164" si="8">ROUNDUP(E101*0.87*1.1/0.84,2)</f>
        <v>8.82</v>
      </c>
      <c r="H101" s="38">
        <f t="shared" ref="H101:H164" si="9">ROUNDUP(F101*1.1,2)</f>
        <v>8.18</v>
      </c>
      <c r="I101" s="38">
        <f t="shared" ref="I101:I164" si="10">ROUNDUP(E101*0.87*1.15/0.84,2)</f>
        <v>9.2200000000000006</v>
      </c>
      <c r="J101" s="38">
        <f t="shared" ref="J101:J164" si="11">ROUNDUP(F101*1.5,2)</f>
        <v>11.15</v>
      </c>
      <c r="K101" s="14" t="s">
        <v>279</v>
      </c>
      <c r="L101" s="6">
        <f>(-H101+G101)/G101</f>
        <v>7.2562358276644048E-2</v>
      </c>
    </row>
    <row r="102" spans="1:12" s="1" customFormat="1" x14ac:dyDescent="0.3">
      <c r="A102" s="11" t="s">
        <v>109</v>
      </c>
      <c r="B102" s="11" t="s">
        <v>109</v>
      </c>
      <c r="C102" s="16" t="s">
        <v>405</v>
      </c>
      <c r="D102" s="37" t="s">
        <v>108</v>
      </c>
      <c r="E102" s="19">
        <v>7.7394999999999996</v>
      </c>
      <c r="F102" s="19">
        <v>7.4299199999999992</v>
      </c>
      <c r="G102" s="38">
        <f t="shared" si="8"/>
        <v>8.82</v>
      </c>
      <c r="H102" s="38">
        <f t="shared" si="9"/>
        <v>8.18</v>
      </c>
      <c r="I102" s="38">
        <f t="shared" si="10"/>
        <v>9.2200000000000006</v>
      </c>
      <c r="J102" s="38">
        <f t="shared" si="11"/>
        <v>11.15</v>
      </c>
      <c r="K102" s="14" t="s">
        <v>279</v>
      </c>
      <c r="L102" s="6">
        <f>(-H102+G102)/G102</f>
        <v>7.2562358276644048E-2</v>
      </c>
    </row>
    <row r="103" spans="1:12" s="1" customFormat="1" x14ac:dyDescent="0.3">
      <c r="A103" s="11" t="s">
        <v>110</v>
      </c>
      <c r="B103" s="11" t="s">
        <v>110</v>
      </c>
      <c r="C103" s="16" t="s">
        <v>406</v>
      </c>
      <c r="D103" s="37" t="s">
        <v>35</v>
      </c>
      <c r="E103" s="19">
        <v>8.831999999999999</v>
      </c>
      <c r="F103" s="19">
        <v>8.831999999999999</v>
      </c>
      <c r="G103" s="38">
        <f t="shared" si="8"/>
        <v>10.07</v>
      </c>
      <c r="H103" s="38">
        <f t="shared" si="9"/>
        <v>9.7200000000000006</v>
      </c>
      <c r="I103" s="38">
        <f t="shared" si="10"/>
        <v>10.52</v>
      </c>
      <c r="J103" s="38">
        <f t="shared" si="11"/>
        <v>13.25</v>
      </c>
      <c r="K103" s="23" t="s">
        <v>280</v>
      </c>
      <c r="L103" s="6">
        <f>(-H103+G103)/G103</f>
        <v>3.4756703078450808E-2</v>
      </c>
    </row>
    <row r="104" spans="1:12" s="1" customFormat="1" x14ac:dyDescent="0.3">
      <c r="A104" s="11" t="s">
        <v>111</v>
      </c>
      <c r="B104" s="11" t="s">
        <v>111</v>
      </c>
      <c r="C104" s="16" t="s">
        <v>407</v>
      </c>
      <c r="D104" s="37" t="s">
        <v>35</v>
      </c>
      <c r="E104" s="19">
        <v>10.901999999999999</v>
      </c>
      <c r="F104" s="19">
        <v>10.901999999999999</v>
      </c>
      <c r="G104" s="38">
        <f t="shared" si="8"/>
        <v>12.43</v>
      </c>
      <c r="H104" s="38">
        <f t="shared" si="9"/>
        <v>12</v>
      </c>
      <c r="I104" s="38">
        <f t="shared" si="10"/>
        <v>12.99</v>
      </c>
      <c r="J104" s="38">
        <f t="shared" si="11"/>
        <v>16.360000000000003</v>
      </c>
      <c r="K104" s="23" t="s">
        <v>281</v>
      </c>
      <c r="L104" s="6">
        <f>(-H104+G104)/G104</f>
        <v>3.4593724859211562E-2</v>
      </c>
    </row>
    <row r="105" spans="1:12" s="1" customFormat="1" x14ac:dyDescent="0.3">
      <c r="A105" s="11" t="s">
        <v>112</v>
      </c>
      <c r="B105" s="11" t="s">
        <v>112</v>
      </c>
      <c r="C105" s="16" t="s">
        <v>408</v>
      </c>
      <c r="D105" s="37" t="s">
        <v>35</v>
      </c>
      <c r="E105" s="19">
        <v>12.373999999999999</v>
      </c>
      <c r="F105" s="19">
        <v>12.373999999999999</v>
      </c>
      <c r="G105" s="38">
        <f t="shared" si="8"/>
        <v>14.1</v>
      </c>
      <c r="H105" s="38">
        <f t="shared" si="9"/>
        <v>13.62</v>
      </c>
      <c r="I105" s="38">
        <f t="shared" si="10"/>
        <v>14.74</v>
      </c>
      <c r="J105" s="38">
        <f t="shared" si="11"/>
        <v>18.57</v>
      </c>
      <c r="K105" s="23" t="s">
        <v>282</v>
      </c>
      <c r="L105" s="6">
        <f>(-H105+G105)/G105</f>
        <v>3.404255319148939E-2</v>
      </c>
    </row>
    <row r="106" spans="1:12" s="1" customFormat="1" x14ac:dyDescent="0.3">
      <c r="A106" s="11" t="s">
        <v>113</v>
      </c>
      <c r="B106" s="11" t="s">
        <v>113</v>
      </c>
      <c r="C106" s="16" t="s">
        <v>409</v>
      </c>
      <c r="D106" s="37" t="s">
        <v>35</v>
      </c>
      <c r="E106" s="19">
        <v>16.445</v>
      </c>
      <c r="F106" s="19">
        <v>16.445</v>
      </c>
      <c r="G106" s="38">
        <f t="shared" si="8"/>
        <v>18.740000000000002</v>
      </c>
      <c r="H106" s="38">
        <f t="shared" si="9"/>
        <v>18.09</v>
      </c>
      <c r="I106" s="38">
        <f t="shared" si="10"/>
        <v>19.59</v>
      </c>
      <c r="J106" s="38">
        <f t="shared" si="11"/>
        <v>24.67</v>
      </c>
      <c r="K106" s="23" t="s">
        <v>283</v>
      </c>
      <c r="L106" s="6">
        <f>(-H106+G106)/G106</f>
        <v>3.4685165421558271E-2</v>
      </c>
    </row>
    <row r="107" spans="1:12" s="1" customFormat="1" x14ac:dyDescent="0.3">
      <c r="A107" s="11" t="s">
        <v>114</v>
      </c>
      <c r="B107" s="11" t="s">
        <v>114</v>
      </c>
      <c r="C107" s="16" t="s">
        <v>410</v>
      </c>
      <c r="D107" s="37" t="s">
        <v>35</v>
      </c>
      <c r="E107" s="19">
        <v>11.603499999999999</v>
      </c>
      <c r="F107" s="19">
        <v>11.603499999999999</v>
      </c>
      <c r="G107" s="38">
        <f t="shared" si="8"/>
        <v>13.22</v>
      </c>
      <c r="H107" s="38">
        <f t="shared" si="9"/>
        <v>12.77</v>
      </c>
      <c r="I107" s="38">
        <f t="shared" si="10"/>
        <v>13.83</v>
      </c>
      <c r="J107" s="38">
        <f t="shared" si="11"/>
        <v>17.41</v>
      </c>
      <c r="K107" s="24" t="s">
        <v>284</v>
      </c>
      <c r="L107" s="6">
        <f>(-H107+G107)/G107</f>
        <v>3.4039334341906279E-2</v>
      </c>
    </row>
    <row r="108" spans="1:12" s="1" customFormat="1" x14ac:dyDescent="0.3">
      <c r="A108" s="11" t="s">
        <v>115</v>
      </c>
      <c r="B108" s="11" t="s">
        <v>115</v>
      </c>
      <c r="C108" s="16" t="s">
        <v>411</v>
      </c>
      <c r="D108" s="37" t="s">
        <v>35</v>
      </c>
      <c r="E108" s="19">
        <v>12.741999999999999</v>
      </c>
      <c r="F108" s="19">
        <v>12.741999999999999</v>
      </c>
      <c r="G108" s="38">
        <f t="shared" si="8"/>
        <v>14.52</v>
      </c>
      <c r="H108" s="38">
        <f t="shared" si="9"/>
        <v>14.02</v>
      </c>
      <c r="I108" s="38">
        <f t="shared" si="10"/>
        <v>15.18</v>
      </c>
      <c r="J108" s="38">
        <f t="shared" si="11"/>
        <v>19.12</v>
      </c>
      <c r="K108" s="23" t="s">
        <v>285</v>
      </c>
      <c r="L108" s="6">
        <f>(-H108+G108)/G108</f>
        <v>3.4435261707988982E-2</v>
      </c>
    </row>
    <row r="109" spans="1:12" s="1" customFormat="1" x14ac:dyDescent="0.3">
      <c r="A109" s="11" t="s">
        <v>116</v>
      </c>
      <c r="B109" s="11" t="s">
        <v>116</v>
      </c>
      <c r="C109" s="16" t="s">
        <v>412</v>
      </c>
      <c r="D109" s="37" t="s">
        <v>35</v>
      </c>
      <c r="E109" s="19">
        <v>16.479499999999998</v>
      </c>
      <c r="F109" s="19">
        <v>16.479499999999998</v>
      </c>
      <c r="G109" s="38">
        <f t="shared" si="8"/>
        <v>18.78</v>
      </c>
      <c r="H109" s="38">
        <f t="shared" si="9"/>
        <v>18.130000000000003</v>
      </c>
      <c r="I109" s="38">
        <f t="shared" si="10"/>
        <v>19.630000000000003</v>
      </c>
      <c r="J109" s="38">
        <f t="shared" si="11"/>
        <v>24.720000000000002</v>
      </c>
      <c r="K109" s="24" t="s">
        <v>286</v>
      </c>
      <c r="L109" s="6">
        <f>(-H109+G109)/G109</f>
        <v>3.4611288604898753E-2</v>
      </c>
    </row>
    <row r="110" spans="1:12" s="1" customFormat="1" x14ac:dyDescent="0.3">
      <c r="A110" s="11" t="s">
        <v>117</v>
      </c>
      <c r="B110" s="11" t="s">
        <v>117</v>
      </c>
      <c r="C110" s="16" t="s">
        <v>413</v>
      </c>
      <c r="D110" s="37" t="s">
        <v>35</v>
      </c>
      <c r="E110" s="19">
        <v>19.147499999999997</v>
      </c>
      <c r="F110" s="19">
        <v>19.147499999999997</v>
      </c>
      <c r="G110" s="38">
        <f t="shared" si="8"/>
        <v>21.82</v>
      </c>
      <c r="H110" s="38">
        <f t="shared" si="9"/>
        <v>21.07</v>
      </c>
      <c r="I110" s="38">
        <f t="shared" si="10"/>
        <v>22.810000000000002</v>
      </c>
      <c r="J110" s="38">
        <f t="shared" si="11"/>
        <v>28.73</v>
      </c>
      <c r="K110" s="23" t="s">
        <v>287</v>
      </c>
      <c r="L110" s="6">
        <f>(-H110+G110)/G110</f>
        <v>3.4372135655362054E-2</v>
      </c>
    </row>
    <row r="111" spans="1:12" s="1" customFormat="1" x14ac:dyDescent="0.3">
      <c r="A111" s="11" t="s">
        <v>118</v>
      </c>
      <c r="B111" s="11" t="s">
        <v>118</v>
      </c>
      <c r="C111" s="16" t="s">
        <v>414</v>
      </c>
      <c r="D111" s="37" t="s">
        <v>35</v>
      </c>
      <c r="E111" s="19">
        <v>6.3249999999999993</v>
      </c>
      <c r="F111" s="19">
        <v>6.0719999999999992</v>
      </c>
      <c r="G111" s="38">
        <f t="shared" si="8"/>
        <v>7.21</v>
      </c>
      <c r="H111" s="38">
        <f t="shared" si="9"/>
        <v>6.68</v>
      </c>
      <c r="I111" s="38">
        <f t="shared" si="10"/>
        <v>7.54</v>
      </c>
      <c r="J111" s="38">
        <f t="shared" si="11"/>
        <v>9.11</v>
      </c>
      <c r="K111" s="17" t="s">
        <v>288</v>
      </c>
      <c r="L111" s="6">
        <f>(-H111+G111)/G111</f>
        <v>7.3509015256588109E-2</v>
      </c>
    </row>
    <row r="112" spans="1:12" s="1" customFormat="1" x14ac:dyDescent="0.3">
      <c r="A112" s="11" t="s">
        <v>119</v>
      </c>
      <c r="B112" s="11" t="s">
        <v>119</v>
      </c>
      <c r="C112" s="16" t="s">
        <v>415</v>
      </c>
      <c r="D112" s="37" t="s">
        <v>35</v>
      </c>
      <c r="E112" s="19">
        <v>8.234</v>
      </c>
      <c r="F112" s="19">
        <v>7.9046399999999997</v>
      </c>
      <c r="G112" s="38">
        <f t="shared" si="8"/>
        <v>9.39</v>
      </c>
      <c r="H112" s="38">
        <f t="shared" si="9"/>
        <v>8.6999999999999993</v>
      </c>
      <c r="I112" s="38">
        <f t="shared" si="10"/>
        <v>9.81</v>
      </c>
      <c r="J112" s="38">
        <f t="shared" si="11"/>
        <v>11.86</v>
      </c>
      <c r="K112" s="17" t="s">
        <v>289</v>
      </c>
      <c r="L112" s="6">
        <f>(-H112+G112)/G112</f>
        <v>7.348242811501611E-2</v>
      </c>
    </row>
    <row r="113" spans="1:12" s="1" customFormat="1" x14ac:dyDescent="0.3">
      <c r="A113" s="11" t="s">
        <v>120</v>
      </c>
      <c r="B113" s="11" t="s">
        <v>120</v>
      </c>
      <c r="C113" s="16" t="s">
        <v>416</v>
      </c>
      <c r="D113" s="37" t="s">
        <v>35</v>
      </c>
      <c r="E113" s="19">
        <v>27.599999999999998</v>
      </c>
      <c r="F113" s="19">
        <v>26.495999999999999</v>
      </c>
      <c r="G113" s="38">
        <f t="shared" si="8"/>
        <v>31.450000000000003</v>
      </c>
      <c r="H113" s="38">
        <f t="shared" si="9"/>
        <v>29.150000000000002</v>
      </c>
      <c r="I113" s="38">
        <f t="shared" si="10"/>
        <v>32.879999999999995</v>
      </c>
      <c r="J113" s="38">
        <f t="shared" si="11"/>
        <v>39.75</v>
      </c>
      <c r="K113" s="24" t="s">
        <v>290</v>
      </c>
      <c r="L113" s="6">
        <f>(-H113+G113)/G113</f>
        <v>7.3131955484896677E-2</v>
      </c>
    </row>
    <row r="114" spans="1:12" s="1" customFormat="1" x14ac:dyDescent="0.3">
      <c r="A114" s="11" t="s">
        <v>121</v>
      </c>
      <c r="B114" s="11" t="s">
        <v>121</v>
      </c>
      <c r="C114" s="16" t="s">
        <v>417</v>
      </c>
      <c r="D114" s="37" t="s">
        <v>35</v>
      </c>
      <c r="E114" s="19">
        <v>27.599999999999998</v>
      </c>
      <c r="F114" s="19">
        <v>26.495999999999999</v>
      </c>
      <c r="G114" s="38">
        <f t="shared" si="8"/>
        <v>31.450000000000003</v>
      </c>
      <c r="H114" s="38">
        <f t="shared" si="9"/>
        <v>29.150000000000002</v>
      </c>
      <c r="I114" s="38">
        <f t="shared" si="10"/>
        <v>32.879999999999995</v>
      </c>
      <c r="J114" s="38">
        <f t="shared" si="11"/>
        <v>39.75</v>
      </c>
      <c r="K114" s="24" t="s">
        <v>290</v>
      </c>
      <c r="L114" s="6">
        <f>(-H114+G114)/G114</f>
        <v>7.3131955484896677E-2</v>
      </c>
    </row>
    <row r="115" spans="1:12" s="1" customFormat="1" x14ac:dyDescent="0.3">
      <c r="A115" s="11" t="s">
        <v>122</v>
      </c>
      <c r="B115" s="11" t="s">
        <v>122</v>
      </c>
      <c r="C115" s="16" t="s">
        <v>418</v>
      </c>
      <c r="D115" s="37" t="s">
        <v>35</v>
      </c>
      <c r="E115" s="19">
        <v>34</v>
      </c>
      <c r="F115" s="19">
        <v>33</v>
      </c>
      <c r="G115" s="38">
        <f t="shared" si="8"/>
        <v>38.739999999999995</v>
      </c>
      <c r="H115" s="38">
        <f t="shared" si="9"/>
        <v>36.299999999999997</v>
      </c>
      <c r="I115" s="38">
        <f t="shared" si="10"/>
        <v>40.5</v>
      </c>
      <c r="J115" s="38">
        <f t="shared" si="11"/>
        <v>49.5</v>
      </c>
      <c r="K115" s="24" t="s">
        <v>278</v>
      </c>
      <c r="L115" s="6">
        <f>(-H115+G115)/G115</f>
        <v>6.298399586990186E-2</v>
      </c>
    </row>
    <row r="116" spans="1:12" s="1" customFormat="1" x14ac:dyDescent="0.3">
      <c r="A116" s="11" t="s">
        <v>123</v>
      </c>
      <c r="B116" s="11" t="s">
        <v>123</v>
      </c>
      <c r="C116" s="16" t="s">
        <v>419</v>
      </c>
      <c r="D116" s="37" t="s">
        <v>35</v>
      </c>
      <c r="E116" s="19">
        <v>37</v>
      </c>
      <c r="F116" s="19">
        <v>36</v>
      </c>
      <c r="G116" s="38">
        <f t="shared" si="8"/>
        <v>42.16</v>
      </c>
      <c r="H116" s="38">
        <f t="shared" si="9"/>
        <v>39.6</v>
      </c>
      <c r="I116" s="38">
        <f t="shared" si="10"/>
        <v>44.07</v>
      </c>
      <c r="J116" s="38">
        <f t="shared" si="11"/>
        <v>54</v>
      </c>
      <c r="K116" s="17" t="s">
        <v>278</v>
      </c>
      <c r="L116" s="6">
        <f>(-H116+G116)/G116</f>
        <v>6.0721062618595716E-2</v>
      </c>
    </row>
    <row r="117" spans="1:12" s="1" customFormat="1" x14ac:dyDescent="0.3">
      <c r="A117" s="11" t="s">
        <v>124</v>
      </c>
      <c r="B117" s="11" t="s">
        <v>124</v>
      </c>
      <c r="C117" s="16" t="s">
        <v>420</v>
      </c>
      <c r="D117" s="37" t="s">
        <v>35</v>
      </c>
      <c r="E117" s="19">
        <v>39</v>
      </c>
      <c r="F117" s="19">
        <v>38</v>
      </c>
      <c r="G117" s="38">
        <f t="shared" si="8"/>
        <v>44.44</v>
      </c>
      <c r="H117" s="38">
        <f t="shared" si="9"/>
        <v>41.8</v>
      </c>
      <c r="I117" s="38">
        <f t="shared" si="10"/>
        <v>46.46</v>
      </c>
      <c r="J117" s="38">
        <f t="shared" si="11"/>
        <v>57</v>
      </c>
      <c r="K117" s="17" t="s">
        <v>278</v>
      </c>
      <c r="L117" s="6">
        <f>(-H117+G117)/G117</f>
        <v>5.9405940594059424E-2</v>
      </c>
    </row>
    <row r="118" spans="1:12" s="1" customFormat="1" x14ac:dyDescent="0.3">
      <c r="A118" s="11" t="s">
        <v>125</v>
      </c>
      <c r="B118" s="11" t="s">
        <v>125</v>
      </c>
      <c r="C118" s="16" t="s">
        <v>421</v>
      </c>
      <c r="D118" s="37" t="s">
        <v>35</v>
      </c>
      <c r="E118" s="19">
        <v>42.55</v>
      </c>
      <c r="F118" s="19">
        <v>40.847999999999999</v>
      </c>
      <c r="G118" s="38">
        <f t="shared" si="8"/>
        <v>48.48</v>
      </c>
      <c r="H118" s="38">
        <f t="shared" si="9"/>
        <v>44.94</v>
      </c>
      <c r="I118" s="38">
        <f t="shared" si="10"/>
        <v>50.69</v>
      </c>
      <c r="J118" s="38">
        <f t="shared" si="11"/>
        <v>61.28</v>
      </c>
      <c r="K118" s="24" t="s">
        <v>291</v>
      </c>
      <c r="L118" s="6">
        <f>(-H118+G118)/G118</f>
        <v>7.3019801980198001E-2</v>
      </c>
    </row>
    <row r="119" spans="1:12" s="1" customFormat="1" x14ac:dyDescent="0.3">
      <c r="A119" s="11" t="s">
        <v>126</v>
      </c>
      <c r="B119" s="11" t="s">
        <v>126</v>
      </c>
      <c r="C119" s="16" t="s">
        <v>422</v>
      </c>
      <c r="D119" s="37" t="s">
        <v>13</v>
      </c>
      <c r="E119" s="19">
        <v>26.2</v>
      </c>
      <c r="F119" s="19">
        <v>24.889999999999997</v>
      </c>
      <c r="G119" s="38">
        <f t="shared" si="8"/>
        <v>29.85</v>
      </c>
      <c r="H119" s="38">
        <f t="shared" si="9"/>
        <v>27.380000000000003</v>
      </c>
      <c r="I119" s="38">
        <f t="shared" si="10"/>
        <v>31.21</v>
      </c>
      <c r="J119" s="38">
        <f t="shared" si="11"/>
        <v>37.339999999999996</v>
      </c>
      <c r="K119" s="17" t="s">
        <v>292</v>
      </c>
      <c r="L119" s="6">
        <f>(-H119+G119)/G119</f>
        <v>8.274706867671687E-2</v>
      </c>
    </row>
    <row r="120" spans="1:12" s="1" customFormat="1" x14ac:dyDescent="0.3">
      <c r="A120" s="11" t="s">
        <v>127</v>
      </c>
      <c r="B120" s="11" t="s">
        <v>127</v>
      </c>
      <c r="C120" s="16" t="s">
        <v>423</v>
      </c>
      <c r="D120" s="37" t="s">
        <v>13</v>
      </c>
      <c r="E120" s="19">
        <v>42</v>
      </c>
      <c r="F120" s="19">
        <v>39.9</v>
      </c>
      <c r="G120" s="38">
        <f t="shared" si="8"/>
        <v>47.85</v>
      </c>
      <c r="H120" s="38">
        <f t="shared" si="9"/>
        <v>43.89</v>
      </c>
      <c r="I120" s="38">
        <f t="shared" si="10"/>
        <v>50.03</v>
      </c>
      <c r="J120" s="38">
        <f t="shared" si="11"/>
        <v>59.85</v>
      </c>
      <c r="K120" s="17" t="s">
        <v>292</v>
      </c>
      <c r="L120" s="6">
        <f>(-H120+G120)/G120</f>
        <v>8.2758620689655185E-2</v>
      </c>
    </row>
    <row r="121" spans="1:12" s="1" customFormat="1" x14ac:dyDescent="0.3">
      <c r="A121" s="11" t="s">
        <v>128</v>
      </c>
      <c r="B121" s="11" t="s">
        <v>128</v>
      </c>
      <c r="C121" s="16" t="s">
        <v>424</v>
      </c>
      <c r="D121" s="37" t="s">
        <v>13</v>
      </c>
      <c r="E121" s="19">
        <v>65</v>
      </c>
      <c r="F121" s="19">
        <v>61.75</v>
      </c>
      <c r="G121" s="38">
        <f t="shared" si="8"/>
        <v>74.06</v>
      </c>
      <c r="H121" s="38">
        <f t="shared" si="9"/>
        <v>67.930000000000007</v>
      </c>
      <c r="I121" s="38">
        <f t="shared" si="10"/>
        <v>77.42</v>
      </c>
      <c r="J121" s="38">
        <f t="shared" si="11"/>
        <v>92.63000000000001</v>
      </c>
      <c r="K121" s="17" t="s">
        <v>292</v>
      </c>
      <c r="L121" s="6">
        <f>(-H121+G121)/G121</f>
        <v>8.2770726438023162E-2</v>
      </c>
    </row>
    <row r="122" spans="1:12" s="1" customFormat="1" x14ac:dyDescent="0.3">
      <c r="A122" s="11" t="s">
        <v>129</v>
      </c>
      <c r="B122" s="11" t="s">
        <v>129</v>
      </c>
      <c r="C122" s="16" t="s">
        <v>337</v>
      </c>
      <c r="D122" s="37" t="s">
        <v>15</v>
      </c>
      <c r="E122" s="19">
        <v>0.12</v>
      </c>
      <c r="F122" s="19">
        <v>0.12</v>
      </c>
      <c r="G122" s="38">
        <f t="shared" si="8"/>
        <v>0.14000000000000001</v>
      </c>
      <c r="H122" s="38">
        <f t="shared" si="9"/>
        <v>0.14000000000000001</v>
      </c>
      <c r="I122" s="38">
        <f t="shared" si="10"/>
        <v>0.15000000000000002</v>
      </c>
      <c r="J122" s="38">
        <f t="shared" si="11"/>
        <v>0.18</v>
      </c>
      <c r="K122" s="17" t="s">
        <v>293</v>
      </c>
      <c r="L122" s="6">
        <f>(-H122+G122)/G122</f>
        <v>0</v>
      </c>
    </row>
    <row r="123" spans="1:12" s="1" customFormat="1" x14ac:dyDescent="0.3">
      <c r="A123" s="11" t="s">
        <v>130</v>
      </c>
      <c r="B123" s="11" t="s">
        <v>130</v>
      </c>
      <c r="C123" s="16" t="s">
        <v>425</v>
      </c>
      <c r="D123" s="37" t="s">
        <v>15</v>
      </c>
      <c r="E123" s="19">
        <v>0.3</v>
      </c>
      <c r="F123" s="19">
        <v>0.3</v>
      </c>
      <c r="G123" s="38">
        <f t="shared" si="8"/>
        <v>0.35000000000000003</v>
      </c>
      <c r="H123" s="38">
        <f t="shared" si="9"/>
        <v>0.33</v>
      </c>
      <c r="I123" s="38">
        <f t="shared" si="10"/>
        <v>0.36</v>
      </c>
      <c r="J123" s="38">
        <f t="shared" si="11"/>
        <v>0.45</v>
      </c>
      <c r="K123" s="17" t="s">
        <v>293</v>
      </c>
      <c r="L123" s="6">
        <f>(-H123+G123)/G123</f>
        <v>5.714285714285719E-2</v>
      </c>
    </row>
    <row r="124" spans="1:12" s="1" customFormat="1" x14ac:dyDescent="0.3">
      <c r="A124" s="11" t="s">
        <v>131</v>
      </c>
      <c r="B124" s="11" t="s">
        <v>131</v>
      </c>
      <c r="C124" s="16" t="s">
        <v>426</v>
      </c>
      <c r="D124" s="37" t="s">
        <v>24</v>
      </c>
      <c r="E124" s="19">
        <v>1.2</v>
      </c>
      <c r="F124" s="19">
        <v>1.2</v>
      </c>
      <c r="G124" s="38">
        <f t="shared" si="8"/>
        <v>1.37</v>
      </c>
      <c r="H124" s="38">
        <f t="shared" si="9"/>
        <v>1.32</v>
      </c>
      <c r="I124" s="38">
        <f t="shared" si="10"/>
        <v>1.43</v>
      </c>
      <c r="J124" s="38">
        <f t="shared" si="11"/>
        <v>1.8</v>
      </c>
      <c r="K124" s="17" t="s">
        <v>293</v>
      </c>
      <c r="L124" s="6">
        <f>(-H124+G124)/G124</f>
        <v>3.6496350364963535E-2</v>
      </c>
    </row>
    <row r="125" spans="1:12" s="1" customFormat="1" x14ac:dyDescent="0.3">
      <c r="A125" s="11" t="s">
        <v>132</v>
      </c>
      <c r="B125" s="11" t="s">
        <v>132</v>
      </c>
      <c r="C125" s="16" t="s">
        <v>427</v>
      </c>
      <c r="D125" s="37" t="s">
        <v>24</v>
      </c>
      <c r="E125" s="19">
        <v>0.5</v>
      </c>
      <c r="F125" s="19">
        <v>0.5</v>
      </c>
      <c r="G125" s="38">
        <f t="shared" si="8"/>
        <v>0.57000000000000006</v>
      </c>
      <c r="H125" s="38">
        <f t="shared" si="9"/>
        <v>0.55000000000000004</v>
      </c>
      <c r="I125" s="38">
        <f t="shared" si="10"/>
        <v>0.6</v>
      </c>
      <c r="J125" s="38">
        <f t="shared" si="11"/>
        <v>0.75</v>
      </c>
      <c r="K125" s="17" t="s">
        <v>293</v>
      </c>
      <c r="L125" s="6">
        <f>(-H125+G125)/G125</f>
        <v>3.508771929824564E-2</v>
      </c>
    </row>
    <row r="126" spans="1:12" s="1" customFormat="1" x14ac:dyDescent="0.3">
      <c r="A126" s="11" t="s">
        <v>133</v>
      </c>
      <c r="B126" s="11" t="s">
        <v>133</v>
      </c>
      <c r="C126" s="16" t="s">
        <v>428</v>
      </c>
      <c r="D126" s="37" t="s">
        <v>24</v>
      </c>
      <c r="E126" s="19">
        <v>0.4</v>
      </c>
      <c r="F126" s="19">
        <v>0.4</v>
      </c>
      <c r="G126" s="38">
        <f t="shared" si="8"/>
        <v>0.46</v>
      </c>
      <c r="H126" s="38">
        <f t="shared" si="9"/>
        <v>0.44</v>
      </c>
      <c r="I126" s="38">
        <f t="shared" si="10"/>
        <v>0.48</v>
      </c>
      <c r="J126" s="38">
        <f t="shared" si="11"/>
        <v>0.6</v>
      </c>
      <c r="K126" s="17" t="s">
        <v>293</v>
      </c>
      <c r="L126" s="6">
        <f>(-H126+G126)/G126</f>
        <v>4.3478260869565251E-2</v>
      </c>
    </row>
    <row r="127" spans="1:12" s="1" customFormat="1" x14ac:dyDescent="0.3">
      <c r="A127" s="11" t="s">
        <v>134</v>
      </c>
      <c r="B127" s="11" t="s">
        <v>134</v>
      </c>
      <c r="C127" s="16" t="s">
        <v>429</v>
      </c>
      <c r="D127" s="37" t="s">
        <v>24</v>
      </c>
      <c r="E127" s="19">
        <v>0.4</v>
      </c>
      <c r="F127" s="19">
        <v>0.4</v>
      </c>
      <c r="G127" s="38">
        <f t="shared" si="8"/>
        <v>0.46</v>
      </c>
      <c r="H127" s="38">
        <f t="shared" si="9"/>
        <v>0.44</v>
      </c>
      <c r="I127" s="38">
        <f t="shared" si="10"/>
        <v>0.48</v>
      </c>
      <c r="J127" s="38">
        <f t="shared" si="11"/>
        <v>0.6</v>
      </c>
      <c r="K127" s="17" t="s">
        <v>293</v>
      </c>
      <c r="L127" s="6">
        <f>(-H127+G127)/G127</f>
        <v>4.3478260869565251E-2</v>
      </c>
    </row>
    <row r="128" spans="1:12" s="1" customFormat="1" x14ac:dyDescent="0.3">
      <c r="A128" s="11" t="s">
        <v>135</v>
      </c>
      <c r="B128" s="11" t="s">
        <v>135</v>
      </c>
      <c r="C128" s="16" t="s">
        <v>430</v>
      </c>
      <c r="D128" s="37" t="s">
        <v>24</v>
      </c>
      <c r="E128" s="19">
        <v>0.5</v>
      </c>
      <c r="F128" s="19">
        <v>0.5</v>
      </c>
      <c r="G128" s="38">
        <f t="shared" si="8"/>
        <v>0.57000000000000006</v>
      </c>
      <c r="H128" s="38">
        <f t="shared" si="9"/>
        <v>0.55000000000000004</v>
      </c>
      <c r="I128" s="38">
        <f t="shared" si="10"/>
        <v>0.6</v>
      </c>
      <c r="J128" s="38">
        <f t="shared" si="11"/>
        <v>0.75</v>
      </c>
      <c r="K128" s="17" t="s">
        <v>293</v>
      </c>
      <c r="L128" s="6">
        <f>(-H128+G128)/G128</f>
        <v>3.508771929824564E-2</v>
      </c>
    </row>
    <row r="129" spans="1:12" s="1" customFormat="1" x14ac:dyDescent="0.3">
      <c r="A129" s="11" t="s">
        <v>136</v>
      </c>
      <c r="B129" s="11" t="s">
        <v>136</v>
      </c>
      <c r="C129" s="16" t="s">
        <v>431</v>
      </c>
      <c r="D129" s="37" t="s">
        <v>24</v>
      </c>
      <c r="E129" s="19">
        <v>1.6</v>
      </c>
      <c r="F129" s="19">
        <v>1.6</v>
      </c>
      <c r="G129" s="38">
        <f t="shared" si="8"/>
        <v>1.83</v>
      </c>
      <c r="H129" s="38">
        <f t="shared" si="9"/>
        <v>1.76</v>
      </c>
      <c r="I129" s="38">
        <f t="shared" si="10"/>
        <v>1.91</v>
      </c>
      <c r="J129" s="38">
        <f t="shared" si="11"/>
        <v>2.4</v>
      </c>
      <c r="K129" s="17" t="s">
        <v>293</v>
      </c>
      <c r="L129" s="6">
        <f>(-H129+G129)/G129</f>
        <v>3.8251366120218615E-2</v>
      </c>
    </row>
    <row r="130" spans="1:12" s="1" customFormat="1" x14ac:dyDescent="0.3">
      <c r="A130" s="11" t="s">
        <v>137</v>
      </c>
      <c r="B130" s="11" t="s">
        <v>137</v>
      </c>
      <c r="C130" s="16" t="s">
        <v>432</v>
      </c>
      <c r="D130" s="37" t="s">
        <v>24</v>
      </c>
      <c r="E130" s="19">
        <v>3</v>
      </c>
      <c r="F130" s="19">
        <v>3</v>
      </c>
      <c r="G130" s="38">
        <f t="shared" si="8"/>
        <v>3.42</v>
      </c>
      <c r="H130" s="38">
        <f t="shared" si="9"/>
        <v>3.3</v>
      </c>
      <c r="I130" s="38">
        <f t="shared" si="10"/>
        <v>3.5799999999999996</v>
      </c>
      <c r="J130" s="38">
        <f t="shared" si="11"/>
        <v>4.5</v>
      </c>
      <c r="K130" s="17" t="s">
        <v>293</v>
      </c>
      <c r="L130" s="6">
        <f>(-H130+G130)/G130</f>
        <v>3.5087719298245647E-2</v>
      </c>
    </row>
    <row r="131" spans="1:12" s="1" customFormat="1" x14ac:dyDescent="0.3">
      <c r="A131" s="11" t="s">
        <v>138</v>
      </c>
      <c r="B131" s="11" t="s">
        <v>138</v>
      </c>
      <c r="C131" s="16" t="s">
        <v>433</v>
      </c>
      <c r="D131" s="37" t="s">
        <v>24</v>
      </c>
      <c r="E131" s="19">
        <v>0.1</v>
      </c>
      <c r="F131" s="19">
        <v>0.1</v>
      </c>
      <c r="G131" s="38">
        <f t="shared" si="8"/>
        <v>0.12</v>
      </c>
      <c r="H131" s="38">
        <f t="shared" si="9"/>
        <v>0.11</v>
      </c>
      <c r="I131" s="38">
        <f t="shared" si="10"/>
        <v>0.12</v>
      </c>
      <c r="J131" s="38">
        <f t="shared" si="11"/>
        <v>0.15</v>
      </c>
      <c r="K131" s="17" t="s">
        <v>293</v>
      </c>
      <c r="L131" s="6">
        <f>(-H131+G131)/G131</f>
        <v>8.3333333333333301E-2</v>
      </c>
    </row>
    <row r="132" spans="1:12" s="1" customFormat="1" x14ac:dyDescent="0.3">
      <c r="A132" s="11" t="s">
        <v>139</v>
      </c>
      <c r="B132" s="11" t="s">
        <v>139</v>
      </c>
      <c r="C132" s="16" t="s">
        <v>434</v>
      </c>
      <c r="D132" s="37" t="s">
        <v>24</v>
      </c>
      <c r="E132" s="19">
        <v>0.1</v>
      </c>
      <c r="F132" s="19">
        <v>0.1</v>
      </c>
      <c r="G132" s="38">
        <f t="shared" si="8"/>
        <v>0.12</v>
      </c>
      <c r="H132" s="38">
        <f t="shared" si="9"/>
        <v>0.11</v>
      </c>
      <c r="I132" s="38">
        <f t="shared" si="10"/>
        <v>0.12</v>
      </c>
      <c r="J132" s="38">
        <f t="shared" si="11"/>
        <v>0.15</v>
      </c>
      <c r="K132" s="17" t="s">
        <v>293</v>
      </c>
      <c r="L132" s="6">
        <f>(-H132+G132)/G132</f>
        <v>8.3333333333333301E-2</v>
      </c>
    </row>
    <row r="133" spans="1:12" s="1" customFormat="1" x14ac:dyDescent="0.3">
      <c r="A133" s="11" t="s">
        <v>140</v>
      </c>
      <c r="B133" s="11" t="s">
        <v>140</v>
      </c>
      <c r="C133" s="16" t="s">
        <v>435</v>
      </c>
      <c r="D133" s="37" t="s">
        <v>24</v>
      </c>
      <c r="E133" s="19">
        <v>0.1</v>
      </c>
      <c r="F133" s="19">
        <v>0.1</v>
      </c>
      <c r="G133" s="38">
        <f t="shared" si="8"/>
        <v>0.12</v>
      </c>
      <c r="H133" s="38">
        <f t="shared" si="9"/>
        <v>0.11</v>
      </c>
      <c r="I133" s="38">
        <f t="shared" si="10"/>
        <v>0.12</v>
      </c>
      <c r="J133" s="38">
        <f t="shared" si="11"/>
        <v>0.15</v>
      </c>
      <c r="K133" s="17" t="s">
        <v>293</v>
      </c>
      <c r="L133" s="6">
        <f>(-H133+G133)/G133</f>
        <v>8.3333333333333301E-2</v>
      </c>
    </row>
    <row r="134" spans="1:12" s="1" customFormat="1" x14ac:dyDescent="0.3">
      <c r="A134" s="11" t="s">
        <v>141</v>
      </c>
      <c r="B134" s="11" t="s">
        <v>141</v>
      </c>
      <c r="C134" s="16" t="s">
        <v>436</v>
      </c>
      <c r="D134" s="37" t="s">
        <v>24</v>
      </c>
      <c r="E134" s="19">
        <v>0.1</v>
      </c>
      <c r="F134" s="19">
        <v>0.1</v>
      </c>
      <c r="G134" s="38">
        <f t="shared" si="8"/>
        <v>0.12</v>
      </c>
      <c r="H134" s="38">
        <f t="shared" si="9"/>
        <v>0.11</v>
      </c>
      <c r="I134" s="38">
        <f t="shared" si="10"/>
        <v>0.12</v>
      </c>
      <c r="J134" s="38">
        <f t="shared" si="11"/>
        <v>0.15</v>
      </c>
      <c r="K134" s="17" t="s">
        <v>293</v>
      </c>
      <c r="L134" s="6">
        <f>(-H134+G134)/G134</f>
        <v>8.3333333333333301E-2</v>
      </c>
    </row>
    <row r="135" spans="1:12" s="1" customFormat="1" x14ac:dyDescent="0.3">
      <c r="A135" s="11" t="s">
        <v>142</v>
      </c>
      <c r="B135" s="11" t="s">
        <v>142</v>
      </c>
      <c r="C135" s="16" t="s">
        <v>437</v>
      </c>
      <c r="D135" s="37" t="s">
        <v>143</v>
      </c>
      <c r="E135" s="19">
        <v>13.39</v>
      </c>
      <c r="F135" s="19">
        <v>13</v>
      </c>
      <c r="G135" s="38">
        <f t="shared" si="8"/>
        <v>15.26</v>
      </c>
      <c r="H135" s="38">
        <f t="shared" si="9"/>
        <v>14.3</v>
      </c>
      <c r="I135" s="38">
        <f t="shared" si="10"/>
        <v>15.95</v>
      </c>
      <c r="J135" s="38">
        <f t="shared" si="11"/>
        <v>19.5</v>
      </c>
      <c r="K135" s="17" t="s">
        <v>245</v>
      </c>
      <c r="L135" s="6">
        <f>(-H135+G135)/G135</f>
        <v>6.2909567496723398E-2</v>
      </c>
    </row>
    <row r="136" spans="1:12" s="1" customFormat="1" x14ac:dyDescent="0.3">
      <c r="A136" s="11" t="s">
        <v>144</v>
      </c>
      <c r="B136" s="11" t="s">
        <v>144</v>
      </c>
      <c r="C136" s="16" t="s">
        <v>438</v>
      </c>
      <c r="D136" s="37" t="s">
        <v>143</v>
      </c>
      <c r="E136" s="19">
        <v>17.510000000000002</v>
      </c>
      <c r="F136" s="19">
        <v>17</v>
      </c>
      <c r="G136" s="38">
        <f t="shared" si="8"/>
        <v>19.950000000000003</v>
      </c>
      <c r="H136" s="38">
        <f t="shared" si="9"/>
        <v>18.7</v>
      </c>
      <c r="I136" s="38">
        <f t="shared" si="10"/>
        <v>20.860000000000003</v>
      </c>
      <c r="J136" s="38">
        <f t="shared" si="11"/>
        <v>25.5</v>
      </c>
      <c r="K136" s="17" t="s">
        <v>245</v>
      </c>
      <c r="L136" s="6">
        <f>(-H136+G136)/G136</f>
        <v>6.2656641604010188E-2</v>
      </c>
    </row>
    <row r="137" spans="1:12" s="1" customFormat="1" x14ac:dyDescent="0.3">
      <c r="A137" s="11" t="s">
        <v>145</v>
      </c>
      <c r="B137" s="11" t="s">
        <v>145</v>
      </c>
      <c r="C137" s="16" t="s">
        <v>439</v>
      </c>
      <c r="D137" s="37" t="s">
        <v>143</v>
      </c>
      <c r="E137" s="19">
        <v>19.57</v>
      </c>
      <c r="F137" s="19">
        <v>19</v>
      </c>
      <c r="G137" s="38">
        <f t="shared" si="8"/>
        <v>22.3</v>
      </c>
      <c r="H137" s="38">
        <f t="shared" si="9"/>
        <v>20.9</v>
      </c>
      <c r="I137" s="38">
        <f t="shared" si="10"/>
        <v>23.310000000000002</v>
      </c>
      <c r="J137" s="38">
        <f t="shared" si="11"/>
        <v>28.5</v>
      </c>
      <c r="K137" s="17" t="s">
        <v>245</v>
      </c>
      <c r="L137" s="6">
        <f>(-H137+G137)/G137</f>
        <v>6.2780269058296062E-2</v>
      </c>
    </row>
    <row r="138" spans="1:12" s="1" customFormat="1" x14ac:dyDescent="0.3">
      <c r="A138" s="11" t="s">
        <v>146</v>
      </c>
      <c r="B138" s="11" t="s">
        <v>146</v>
      </c>
      <c r="C138" s="16" t="s">
        <v>440</v>
      </c>
      <c r="D138" s="37" t="s">
        <v>143</v>
      </c>
      <c r="E138" s="19">
        <v>24.72</v>
      </c>
      <c r="F138" s="19">
        <v>24</v>
      </c>
      <c r="G138" s="38">
        <f t="shared" si="8"/>
        <v>28.17</v>
      </c>
      <c r="H138" s="38">
        <f t="shared" si="9"/>
        <v>26.4</v>
      </c>
      <c r="I138" s="38">
        <f t="shared" si="10"/>
        <v>29.450000000000003</v>
      </c>
      <c r="J138" s="38">
        <f t="shared" si="11"/>
        <v>36</v>
      </c>
      <c r="K138" s="17" t="s">
        <v>245</v>
      </c>
      <c r="L138" s="6">
        <f>(-H138+G138)/G138</f>
        <v>6.2832800851970294E-2</v>
      </c>
    </row>
    <row r="139" spans="1:12" s="1" customFormat="1" x14ac:dyDescent="0.3">
      <c r="A139" s="11" t="s">
        <v>147</v>
      </c>
      <c r="B139" s="11" t="s">
        <v>147</v>
      </c>
      <c r="C139" s="16" t="s">
        <v>441</v>
      </c>
      <c r="D139" s="37" t="s">
        <v>143</v>
      </c>
      <c r="E139" s="19">
        <v>26.78</v>
      </c>
      <c r="F139" s="19">
        <v>26</v>
      </c>
      <c r="G139" s="38">
        <f t="shared" si="8"/>
        <v>30.520000000000003</v>
      </c>
      <c r="H139" s="38">
        <f t="shared" si="9"/>
        <v>28.6</v>
      </c>
      <c r="I139" s="38">
        <f t="shared" si="10"/>
        <v>31.900000000000002</v>
      </c>
      <c r="J139" s="38">
        <f t="shared" si="11"/>
        <v>39</v>
      </c>
      <c r="K139" s="17" t="s">
        <v>245</v>
      </c>
      <c r="L139" s="6">
        <f>(-H139+G139)/G139</f>
        <v>6.2909567496723509E-2</v>
      </c>
    </row>
    <row r="140" spans="1:12" s="1" customFormat="1" x14ac:dyDescent="0.3">
      <c r="A140" s="11" t="s">
        <v>148</v>
      </c>
      <c r="B140" s="11" t="s">
        <v>148</v>
      </c>
      <c r="C140" s="16" t="s">
        <v>442</v>
      </c>
      <c r="D140" s="37" t="s">
        <v>143</v>
      </c>
      <c r="E140" s="19">
        <v>33.99</v>
      </c>
      <c r="F140" s="19">
        <v>33</v>
      </c>
      <c r="G140" s="38">
        <f t="shared" si="8"/>
        <v>38.729999999999997</v>
      </c>
      <c r="H140" s="38">
        <f t="shared" si="9"/>
        <v>36.299999999999997</v>
      </c>
      <c r="I140" s="38">
        <f t="shared" si="10"/>
        <v>40.489999999999995</v>
      </c>
      <c r="J140" s="38">
        <f t="shared" si="11"/>
        <v>49.5</v>
      </c>
      <c r="K140" s="17" t="s">
        <v>245</v>
      </c>
      <c r="L140" s="6">
        <f>(-H140+G140)/G140</f>
        <v>6.2742060418280399E-2</v>
      </c>
    </row>
    <row r="141" spans="1:12" s="1" customFormat="1" x14ac:dyDescent="0.3">
      <c r="A141" s="11" t="s">
        <v>149</v>
      </c>
      <c r="B141" s="11" t="s">
        <v>149</v>
      </c>
      <c r="C141" s="16" t="s">
        <v>443</v>
      </c>
      <c r="D141" s="37" t="s">
        <v>143</v>
      </c>
      <c r="E141" s="19">
        <v>38.11</v>
      </c>
      <c r="F141" s="19">
        <v>37</v>
      </c>
      <c r="G141" s="38">
        <f t="shared" si="8"/>
        <v>43.419999999999995</v>
      </c>
      <c r="H141" s="38">
        <f t="shared" si="9"/>
        <v>40.700000000000003</v>
      </c>
      <c r="I141" s="38">
        <f t="shared" si="10"/>
        <v>45.4</v>
      </c>
      <c r="J141" s="38">
        <f t="shared" si="11"/>
        <v>55.5</v>
      </c>
      <c r="K141" s="17" t="s">
        <v>245</v>
      </c>
      <c r="L141" s="6">
        <f>(-H141+G141)/G141</f>
        <v>6.2643942883463657E-2</v>
      </c>
    </row>
    <row r="142" spans="1:12" s="1" customFormat="1" x14ac:dyDescent="0.3">
      <c r="A142" s="11" t="s">
        <v>150</v>
      </c>
      <c r="B142" s="11" t="s">
        <v>150</v>
      </c>
      <c r="C142" s="16" t="s">
        <v>444</v>
      </c>
      <c r="D142" s="37" t="s">
        <v>143</v>
      </c>
      <c r="E142" s="19">
        <v>46.35</v>
      </c>
      <c r="F142" s="19">
        <v>45</v>
      </c>
      <c r="G142" s="38">
        <f t="shared" si="8"/>
        <v>52.809999999999995</v>
      </c>
      <c r="H142" s="38">
        <f t="shared" si="9"/>
        <v>49.5</v>
      </c>
      <c r="I142" s="38">
        <f t="shared" si="10"/>
        <v>55.21</v>
      </c>
      <c r="J142" s="38">
        <f t="shared" si="11"/>
        <v>67.5</v>
      </c>
      <c r="K142" s="17" t="s">
        <v>245</v>
      </c>
      <c r="L142" s="6">
        <f>(-H142+G142)/G142</f>
        <v>6.2677523196364243E-2</v>
      </c>
    </row>
    <row r="143" spans="1:12" s="1" customFormat="1" x14ac:dyDescent="0.3">
      <c r="A143" s="11" t="s">
        <v>151</v>
      </c>
      <c r="B143" s="11" t="s">
        <v>151</v>
      </c>
      <c r="C143" s="16" t="s">
        <v>445</v>
      </c>
      <c r="D143" s="37" t="s">
        <v>24</v>
      </c>
      <c r="E143" s="19">
        <v>1.8</v>
      </c>
      <c r="F143" s="19">
        <v>1.8</v>
      </c>
      <c r="G143" s="38">
        <f t="shared" si="8"/>
        <v>2.0599999999999996</v>
      </c>
      <c r="H143" s="38">
        <f t="shared" si="9"/>
        <v>1.98</v>
      </c>
      <c r="I143" s="38">
        <f t="shared" si="10"/>
        <v>2.15</v>
      </c>
      <c r="J143" s="38">
        <f t="shared" si="11"/>
        <v>2.7</v>
      </c>
      <c r="K143" s="17" t="s">
        <v>293</v>
      </c>
      <c r="L143" s="6">
        <f>(-H143+G143)/G143</f>
        <v>3.8834951456310503E-2</v>
      </c>
    </row>
    <row r="144" spans="1:12" s="1" customFormat="1" x14ac:dyDescent="0.3">
      <c r="A144" s="11" t="s">
        <v>152</v>
      </c>
      <c r="B144" s="11" t="s">
        <v>152</v>
      </c>
      <c r="C144" s="16" t="s">
        <v>446</v>
      </c>
      <c r="D144" s="37" t="s">
        <v>24</v>
      </c>
      <c r="E144" s="19">
        <v>1.5</v>
      </c>
      <c r="F144" s="19">
        <v>1.5</v>
      </c>
      <c r="G144" s="38">
        <f t="shared" si="8"/>
        <v>1.71</v>
      </c>
      <c r="H144" s="38">
        <f t="shared" si="9"/>
        <v>1.65</v>
      </c>
      <c r="I144" s="38">
        <f t="shared" si="10"/>
        <v>1.79</v>
      </c>
      <c r="J144" s="38">
        <f t="shared" si="11"/>
        <v>2.25</v>
      </c>
      <c r="K144" s="17" t="s">
        <v>293</v>
      </c>
      <c r="L144" s="6">
        <f>(-H144+G144)/G144</f>
        <v>3.5087719298245647E-2</v>
      </c>
    </row>
    <row r="145" spans="1:12" s="1" customFormat="1" x14ac:dyDescent="0.3">
      <c r="A145" s="11" t="s">
        <v>153</v>
      </c>
      <c r="B145" s="11" t="s">
        <v>153</v>
      </c>
      <c r="C145" s="16" t="s">
        <v>447</v>
      </c>
      <c r="D145" s="37" t="s">
        <v>24</v>
      </c>
      <c r="E145" s="19">
        <v>2.5</v>
      </c>
      <c r="F145" s="19">
        <v>2.5</v>
      </c>
      <c r="G145" s="38">
        <f t="shared" si="8"/>
        <v>2.8499999999999996</v>
      </c>
      <c r="H145" s="38">
        <f t="shared" si="9"/>
        <v>2.75</v>
      </c>
      <c r="I145" s="38">
        <f t="shared" si="10"/>
        <v>2.98</v>
      </c>
      <c r="J145" s="38">
        <f t="shared" si="11"/>
        <v>3.75</v>
      </c>
      <c r="K145" s="17" t="s">
        <v>293</v>
      </c>
      <c r="L145" s="6">
        <f>(-H145+G145)/G145</f>
        <v>3.5087719298245494E-2</v>
      </c>
    </row>
    <row r="146" spans="1:12" s="1" customFormat="1" x14ac:dyDescent="0.3">
      <c r="A146" s="11" t="s">
        <v>154</v>
      </c>
      <c r="B146" s="11" t="s">
        <v>154</v>
      </c>
      <c r="C146" s="16" t="s">
        <v>448</v>
      </c>
      <c r="D146" s="37" t="s">
        <v>143</v>
      </c>
      <c r="E146" s="19">
        <v>9.8000000000000007</v>
      </c>
      <c r="F146" s="19">
        <v>9.8000000000000007</v>
      </c>
      <c r="G146" s="38">
        <f t="shared" si="8"/>
        <v>11.17</v>
      </c>
      <c r="H146" s="38">
        <f t="shared" si="9"/>
        <v>10.78</v>
      </c>
      <c r="I146" s="38">
        <f t="shared" si="10"/>
        <v>11.68</v>
      </c>
      <c r="J146" s="38">
        <f t="shared" si="11"/>
        <v>14.7</v>
      </c>
      <c r="K146" s="17" t="s">
        <v>293</v>
      </c>
      <c r="L146" s="6">
        <f>(-H146+G146)/G146</f>
        <v>3.4914950760966929E-2</v>
      </c>
    </row>
    <row r="147" spans="1:12" s="1" customFormat="1" x14ac:dyDescent="0.3">
      <c r="A147" s="11" t="s">
        <v>155</v>
      </c>
      <c r="B147" s="11" t="s">
        <v>155</v>
      </c>
      <c r="C147" s="16" t="s">
        <v>449</v>
      </c>
      <c r="D147" s="37" t="s">
        <v>143</v>
      </c>
      <c r="E147" s="19">
        <v>15.05</v>
      </c>
      <c r="F147" s="19">
        <v>15.05</v>
      </c>
      <c r="G147" s="38">
        <f t="shared" si="8"/>
        <v>17.150000000000002</v>
      </c>
      <c r="H147" s="38">
        <f t="shared" si="9"/>
        <v>16.560000000000002</v>
      </c>
      <c r="I147" s="38">
        <f t="shared" si="10"/>
        <v>17.930000000000003</v>
      </c>
      <c r="J147" s="38">
        <f t="shared" si="11"/>
        <v>22.580000000000002</v>
      </c>
      <c r="K147" s="17" t="s">
        <v>293</v>
      </c>
      <c r="L147" s="6">
        <f>(-H147+G147)/G147</f>
        <v>3.4402332361516019E-2</v>
      </c>
    </row>
    <row r="148" spans="1:12" s="1" customFormat="1" x14ac:dyDescent="0.3">
      <c r="A148" s="11" t="s">
        <v>156</v>
      </c>
      <c r="B148" s="11" t="s">
        <v>156</v>
      </c>
      <c r="C148" s="16" t="s">
        <v>450</v>
      </c>
      <c r="D148" s="37" t="s">
        <v>143</v>
      </c>
      <c r="E148" s="19">
        <v>18.5</v>
      </c>
      <c r="F148" s="19">
        <v>18.5</v>
      </c>
      <c r="G148" s="38">
        <f t="shared" si="8"/>
        <v>21.080000000000002</v>
      </c>
      <c r="H148" s="38">
        <f t="shared" si="9"/>
        <v>20.350000000000001</v>
      </c>
      <c r="I148" s="38">
        <f t="shared" si="10"/>
        <v>22.040000000000003</v>
      </c>
      <c r="J148" s="38">
        <f t="shared" si="11"/>
        <v>27.75</v>
      </c>
      <c r="K148" s="17" t="s">
        <v>293</v>
      </c>
      <c r="L148" s="6">
        <f>(-H148+G148)/G148</f>
        <v>3.4629981024667945E-2</v>
      </c>
    </row>
    <row r="149" spans="1:12" s="1" customFormat="1" x14ac:dyDescent="0.3">
      <c r="A149" s="11" t="s">
        <v>157</v>
      </c>
      <c r="B149" s="11" t="s">
        <v>157</v>
      </c>
      <c r="C149" s="16" t="s">
        <v>451</v>
      </c>
      <c r="D149" s="37" t="s">
        <v>143</v>
      </c>
      <c r="E149" s="19">
        <v>22.14</v>
      </c>
      <c r="F149" s="19">
        <v>22.14</v>
      </c>
      <c r="G149" s="38">
        <f t="shared" si="8"/>
        <v>25.23</v>
      </c>
      <c r="H149" s="38">
        <f t="shared" si="9"/>
        <v>24.360000000000003</v>
      </c>
      <c r="I149" s="38">
        <f t="shared" si="10"/>
        <v>26.380000000000003</v>
      </c>
      <c r="J149" s="38">
        <f t="shared" si="11"/>
        <v>33.21</v>
      </c>
      <c r="K149" s="17" t="s">
        <v>293</v>
      </c>
      <c r="L149" s="6">
        <f>(-H149+G149)/G149</f>
        <v>3.4482758620689551E-2</v>
      </c>
    </row>
    <row r="150" spans="1:12" s="1" customFormat="1" x14ac:dyDescent="0.3">
      <c r="A150" s="11" t="s">
        <v>158</v>
      </c>
      <c r="B150" s="11" t="s">
        <v>158</v>
      </c>
      <c r="C150" s="16" t="s">
        <v>452</v>
      </c>
      <c r="D150" s="37" t="s">
        <v>143</v>
      </c>
      <c r="E150" s="19">
        <v>27.42</v>
      </c>
      <c r="F150" s="19">
        <v>27.42</v>
      </c>
      <c r="G150" s="38">
        <f t="shared" si="8"/>
        <v>31.240000000000002</v>
      </c>
      <c r="H150" s="38">
        <f t="shared" si="9"/>
        <v>30.17</v>
      </c>
      <c r="I150" s="38">
        <f t="shared" si="10"/>
        <v>32.659999999999997</v>
      </c>
      <c r="J150" s="38">
        <f t="shared" si="11"/>
        <v>41.13</v>
      </c>
      <c r="K150" s="17" t="s">
        <v>293</v>
      </c>
      <c r="L150" s="6">
        <f>(-H150+G150)/G150</f>
        <v>3.4250960307298343E-2</v>
      </c>
    </row>
    <row r="151" spans="1:12" s="1" customFormat="1" x14ac:dyDescent="0.3">
      <c r="A151" s="11" t="s">
        <v>159</v>
      </c>
      <c r="B151" s="11" t="s">
        <v>159</v>
      </c>
      <c r="C151" s="16" t="s">
        <v>453</v>
      </c>
      <c r="D151" s="37" t="s">
        <v>143</v>
      </c>
      <c r="E151" s="19">
        <v>39.58</v>
      </c>
      <c r="F151" s="19">
        <v>39.58</v>
      </c>
      <c r="G151" s="38">
        <f t="shared" si="8"/>
        <v>45.1</v>
      </c>
      <c r="H151" s="38">
        <f t="shared" si="9"/>
        <v>43.54</v>
      </c>
      <c r="I151" s="38">
        <f t="shared" si="10"/>
        <v>47.15</v>
      </c>
      <c r="J151" s="38">
        <f t="shared" si="11"/>
        <v>59.37</v>
      </c>
      <c r="K151" s="17" t="s">
        <v>293</v>
      </c>
      <c r="L151" s="6">
        <f>(-H151+G151)/G151</f>
        <v>3.458980044345903E-2</v>
      </c>
    </row>
    <row r="152" spans="1:12" s="1" customFormat="1" x14ac:dyDescent="0.3">
      <c r="A152" s="11" t="s">
        <v>160</v>
      </c>
      <c r="B152" s="11" t="s">
        <v>160</v>
      </c>
      <c r="C152" s="16" t="s">
        <v>454</v>
      </c>
      <c r="D152" s="37" t="s">
        <v>24</v>
      </c>
      <c r="E152" s="19">
        <v>3.04</v>
      </c>
      <c r="F152" s="19">
        <v>3.04</v>
      </c>
      <c r="G152" s="38">
        <f t="shared" si="8"/>
        <v>3.4699999999999998</v>
      </c>
      <c r="H152" s="38">
        <f t="shared" si="9"/>
        <v>3.3499999999999996</v>
      </c>
      <c r="I152" s="38">
        <f t="shared" si="10"/>
        <v>3.63</v>
      </c>
      <c r="J152" s="38">
        <f t="shared" si="11"/>
        <v>4.5599999999999996</v>
      </c>
      <c r="K152" s="17" t="s">
        <v>293</v>
      </c>
      <c r="L152" s="6">
        <f>(-H152+G152)/G152</f>
        <v>3.4582132564841529E-2</v>
      </c>
    </row>
    <row r="153" spans="1:12" s="1" customFormat="1" x14ac:dyDescent="0.3">
      <c r="A153" s="11" t="s">
        <v>161</v>
      </c>
      <c r="B153" s="11" t="s">
        <v>161</v>
      </c>
      <c r="C153" s="16" t="s">
        <v>455</v>
      </c>
      <c r="D153" s="37" t="s">
        <v>24</v>
      </c>
      <c r="E153" s="19">
        <v>21.200000000000003</v>
      </c>
      <c r="F153" s="19">
        <v>20</v>
      </c>
      <c r="G153" s="38">
        <f t="shared" si="8"/>
        <v>24.16</v>
      </c>
      <c r="H153" s="38">
        <f t="shared" si="9"/>
        <v>22</v>
      </c>
      <c r="I153" s="38">
        <f t="shared" si="10"/>
        <v>25.26</v>
      </c>
      <c r="J153" s="38">
        <f t="shared" si="11"/>
        <v>30</v>
      </c>
      <c r="K153" s="17" t="s">
        <v>245</v>
      </c>
      <c r="L153" s="6">
        <f>(-H153+G153)/G153</f>
        <v>8.9403973509933773E-2</v>
      </c>
    </row>
    <row r="154" spans="1:12" s="1" customFormat="1" x14ac:dyDescent="0.3">
      <c r="A154" s="11" t="s">
        <v>162</v>
      </c>
      <c r="B154" s="11" t="s">
        <v>162</v>
      </c>
      <c r="C154" s="16" t="s">
        <v>456</v>
      </c>
      <c r="D154" s="37" t="s">
        <v>35</v>
      </c>
      <c r="E154" s="19">
        <v>12.72</v>
      </c>
      <c r="F154" s="19">
        <v>10</v>
      </c>
      <c r="G154" s="38">
        <f t="shared" si="8"/>
        <v>14.5</v>
      </c>
      <c r="H154" s="38">
        <f t="shared" si="9"/>
        <v>11</v>
      </c>
      <c r="I154" s="38">
        <f t="shared" si="10"/>
        <v>15.16</v>
      </c>
      <c r="J154" s="38">
        <f t="shared" si="11"/>
        <v>15</v>
      </c>
      <c r="K154" s="17" t="s">
        <v>294</v>
      </c>
      <c r="L154" s="6">
        <f>(-H154+G154)/G154</f>
        <v>0.2413793103448276</v>
      </c>
    </row>
    <row r="155" spans="1:12" s="1" customFormat="1" x14ac:dyDescent="0.3">
      <c r="A155" s="11" t="s">
        <v>163</v>
      </c>
      <c r="B155" s="11" t="s">
        <v>163</v>
      </c>
      <c r="C155" s="16" t="s">
        <v>457</v>
      </c>
      <c r="D155" s="37" t="s">
        <v>35</v>
      </c>
      <c r="E155" s="19">
        <v>12.72</v>
      </c>
      <c r="F155" s="19">
        <v>12</v>
      </c>
      <c r="G155" s="38">
        <f t="shared" si="8"/>
        <v>14.5</v>
      </c>
      <c r="H155" s="38">
        <f t="shared" si="9"/>
        <v>13.2</v>
      </c>
      <c r="I155" s="38">
        <f t="shared" si="10"/>
        <v>15.16</v>
      </c>
      <c r="J155" s="38">
        <f t="shared" si="11"/>
        <v>18</v>
      </c>
      <c r="K155" s="17" t="s">
        <v>295</v>
      </c>
      <c r="L155" s="6">
        <f>(-H155+G155)/G155</f>
        <v>8.9655172413793158E-2</v>
      </c>
    </row>
    <row r="156" spans="1:12" s="1" customFormat="1" x14ac:dyDescent="0.3">
      <c r="A156" s="11" t="s">
        <v>164</v>
      </c>
      <c r="B156" s="11" t="s">
        <v>164</v>
      </c>
      <c r="C156" s="16" t="s">
        <v>458</v>
      </c>
      <c r="D156" s="37" t="s">
        <v>35</v>
      </c>
      <c r="E156" s="19">
        <v>12.72</v>
      </c>
      <c r="F156" s="19">
        <v>12</v>
      </c>
      <c r="G156" s="38">
        <f t="shared" si="8"/>
        <v>14.5</v>
      </c>
      <c r="H156" s="38">
        <f t="shared" si="9"/>
        <v>13.2</v>
      </c>
      <c r="I156" s="38">
        <f t="shared" si="10"/>
        <v>15.16</v>
      </c>
      <c r="J156" s="38">
        <f t="shared" si="11"/>
        <v>18</v>
      </c>
      <c r="K156" s="17" t="s">
        <v>296</v>
      </c>
      <c r="L156" s="6">
        <f>(-H156+G156)/G156</f>
        <v>8.9655172413793158E-2</v>
      </c>
    </row>
    <row r="157" spans="1:12" s="1" customFormat="1" x14ac:dyDescent="0.3">
      <c r="A157" s="11" t="s">
        <v>165</v>
      </c>
      <c r="B157" s="11" t="s">
        <v>165</v>
      </c>
      <c r="C157" s="16" t="s">
        <v>459</v>
      </c>
      <c r="D157" s="37" t="s">
        <v>35</v>
      </c>
      <c r="E157" s="19">
        <v>12.72</v>
      </c>
      <c r="F157" s="19">
        <v>10</v>
      </c>
      <c r="G157" s="38">
        <f t="shared" si="8"/>
        <v>14.5</v>
      </c>
      <c r="H157" s="38">
        <f t="shared" si="9"/>
        <v>11</v>
      </c>
      <c r="I157" s="38">
        <f t="shared" si="10"/>
        <v>15.16</v>
      </c>
      <c r="J157" s="38">
        <f t="shared" si="11"/>
        <v>15</v>
      </c>
      <c r="K157" s="17" t="s">
        <v>294</v>
      </c>
      <c r="L157" s="6">
        <f>(-H157+G157)/G157</f>
        <v>0.2413793103448276</v>
      </c>
    </row>
    <row r="158" spans="1:12" s="1" customFormat="1" x14ac:dyDescent="0.3">
      <c r="A158" s="11" t="s">
        <v>166</v>
      </c>
      <c r="B158" s="11" t="s">
        <v>166</v>
      </c>
      <c r="C158" s="16" t="s">
        <v>460</v>
      </c>
      <c r="D158" s="37" t="s">
        <v>35</v>
      </c>
      <c r="E158" s="19">
        <v>6.36</v>
      </c>
      <c r="F158" s="19">
        <v>6</v>
      </c>
      <c r="G158" s="38">
        <f t="shared" si="8"/>
        <v>7.25</v>
      </c>
      <c r="H158" s="38">
        <f t="shared" si="9"/>
        <v>6.6</v>
      </c>
      <c r="I158" s="38">
        <f t="shared" si="10"/>
        <v>7.58</v>
      </c>
      <c r="J158" s="38">
        <f t="shared" si="11"/>
        <v>9</v>
      </c>
      <c r="K158" s="17" t="s">
        <v>297</v>
      </c>
      <c r="L158" s="6">
        <f>(-H158+G158)/G158</f>
        <v>8.9655172413793158E-2</v>
      </c>
    </row>
    <row r="159" spans="1:12" s="1" customFormat="1" x14ac:dyDescent="0.3">
      <c r="A159" s="11" t="s">
        <v>167</v>
      </c>
      <c r="B159" s="11" t="s">
        <v>167</v>
      </c>
      <c r="C159" s="16" t="s">
        <v>461</v>
      </c>
      <c r="D159" s="37" t="s">
        <v>35</v>
      </c>
      <c r="E159" s="19">
        <v>6.36</v>
      </c>
      <c r="F159" s="19">
        <v>6</v>
      </c>
      <c r="G159" s="38">
        <f t="shared" si="8"/>
        <v>7.25</v>
      </c>
      <c r="H159" s="38">
        <f t="shared" si="9"/>
        <v>6.6</v>
      </c>
      <c r="I159" s="38">
        <f t="shared" si="10"/>
        <v>7.58</v>
      </c>
      <c r="J159" s="38">
        <f t="shared" si="11"/>
        <v>9</v>
      </c>
      <c r="K159" s="17" t="s">
        <v>297</v>
      </c>
      <c r="L159" s="6">
        <f>(-H159+G159)/G159</f>
        <v>8.9655172413793158E-2</v>
      </c>
    </row>
    <row r="160" spans="1:12" s="1" customFormat="1" x14ac:dyDescent="0.3">
      <c r="A160" s="11" t="s">
        <v>168</v>
      </c>
      <c r="B160" s="11" t="s">
        <v>168</v>
      </c>
      <c r="C160" s="16" t="s">
        <v>462</v>
      </c>
      <c r="D160" s="37" t="s">
        <v>24</v>
      </c>
      <c r="E160" s="19">
        <v>4</v>
      </c>
      <c r="F160" s="19">
        <v>4</v>
      </c>
      <c r="G160" s="38">
        <f t="shared" si="8"/>
        <v>4.5599999999999996</v>
      </c>
      <c r="H160" s="38">
        <f t="shared" si="9"/>
        <v>4.4000000000000004</v>
      </c>
      <c r="I160" s="38">
        <f t="shared" si="10"/>
        <v>4.7699999999999996</v>
      </c>
      <c r="J160" s="38">
        <f t="shared" si="11"/>
        <v>6</v>
      </c>
      <c r="K160" s="17" t="s">
        <v>298</v>
      </c>
      <c r="L160" s="6">
        <f>(-H160+G160)/G160</f>
        <v>3.5087719298245452E-2</v>
      </c>
    </row>
    <row r="161" spans="1:12" s="1" customFormat="1" x14ac:dyDescent="0.3">
      <c r="A161" s="11" t="s">
        <v>169</v>
      </c>
      <c r="B161" s="11" t="s">
        <v>169</v>
      </c>
      <c r="C161" s="16" t="s">
        <v>463</v>
      </c>
      <c r="D161" s="37" t="s">
        <v>35</v>
      </c>
      <c r="E161" s="19">
        <v>3.2</v>
      </c>
      <c r="F161" s="19">
        <v>2.8571428571428572</v>
      </c>
      <c r="G161" s="38">
        <f t="shared" si="8"/>
        <v>3.65</v>
      </c>
      <c r="H161" s="38">
        <f t="shared" si="9"/>
        <v>3.15</v>
      </c>
      <c r="I161" s="38">
        <f t="shared" si="10"/>
        <v>3.82</v>
      </c>
      <c r="J161" s="38">
        <f t="shared" si="11"/>
        <v>4.29</v>
      </c>
      <c r="K161" s="17" t="s">
        <v>299</v>
      </c>
      <c r="L161" s="6">
        <f>(-H161+G161)/G161</f>
        <v>0.13698630136986301</v>
      </c>
    </row>
    <row r="162" spans="1:12" s="1" customFormat="1" x14ac:dyDescent="0.3">
      <c r="A162" s="11" t="s">
        <v>170</v>
      </c>
      <c r="B162" s="11" t="s">
        <v>170</v>
      </c>
      <c r="C162" s="16" t="s">
        <v>464</v>
      </c>
      <c r="D162" s="37" t="s">
        <v>15</v>
      </c>
      <c r="E162" s="19">
        <v>3</v>
      </c>
      <c r="F162" s="19">
        <v>3</v>
      </c>
      <c r="G162" s="38">
        <f t="shared" si="8"/>
        <v>3.42</v>
      </c>
      <c r="H162" s="38">
        <f t="shared" si="9"/>
        <v>3.3</v>
      </c>
      <c r="I162" s="38">
        <f t="shared" si="10"/>
        <v>3.5799999999999996</v>
      </c>
      <c r="J162" s="38">
        <f t="shared" si="11"/>
        <v>4.5</v>
      </c>
      <c r="K162" s="17" t="s">
        <v>300</v>
      </c>
      <c r="L162" s="6">
        <f>(-H162+G162)/G162</f>
        <v>3.5087719298245647E-2</v>
      </c>
    </row>
    <row r="163" spans="1:12" s="1" customFormat="1" x14ac:dyDescent="0.3">
      <c r="A163" s="11" t="s">
        <v>171</v>
      </c>
      <c r="B163" s="11" t="s">
        <v>171</v>
      </c>
      <c r="C163" s="16" t="s">
        <v>465</v>
      </c>
      <c r="D163" s="37" t="s">
        <v>24</v>
      </c>
      <c r="E163" s="19">
        <v>0.15</v>
      </c>
      <c r="F163" s="19">
        <v>0.15</v>
      </c>
      <c r="G163" s="38">
        <f t="shared" si="8"/>
        <v>0.18000000000000002</v>
      </c>
      <c r="H163" s="38">
        <f t="shared" si="9"/>
        <v>0.17</v>
      </c>
      <c r="I163" s="38">
        <f t="shared" si="10"/>
        <v>0.18000000000000002</v>
      </c>
      <c r="J163" s="38">
        <f t="shared" si="11"/>
        <v>0.23</v>
      </c>
      <c r="K163" s="17" t="s">
        <v>293</v>
      </c>
      <c r="L163" s="6">
        <f>(-H163+G163)/G163</f>
        <v>5.5555555555555601E-2</v>
      </c>
    </row>
    <row r="164" spans="1:12" s="1" customFormat="1" x14ac:dyDescent="0.3">
      <c r="A164" s="11" t="s">
        <v>172</v>
      </c>
      <c r="B164" s="11" t="s">
        <v>172</v>
      </c>
      <c r="C164" s="16" t="s">
        <v>466</v>
      </c>
      <c r="D164" s="37" t="s">
        <v>35</v>
      </c>
      <c r="E164" s="19">
        <v>10.797000000000001</v>
      </c>
      <c r="F164" s="19">
        <v>9.7173000000000016</v>
      </c>
      <c r="G164" s="38">
        <f t="shared" si="8"/>
        <v>12.31</v>
      </c>
      <c r="H164" s="38">
        <f t="shared" si="9"/>
        <v>10.69</v>
      </c>
      <c r="I164" s="38">
        <f t="shared" si="10"/>
        <v>12.86</v>
      </c>
      <c r="J164" s="38">
        <f t="shared" si="11"/>
        <v>14.58</v>
      </c>
      <c r="K164" s="17" t="s">
        <v>301</v>
      </c>
      <c r="L164" s="6">
        <f>(-H164+G164)/G164</f>
        <v>0.131600324939074</v>
      </c>
    </row>
    <row r="165" spans="1:12" s="1" customFormat="1" x14ac:dyDescent="0.3">
      <c r="A165" s="11" t="s">
        <v>173</v>
      </c>
      <c r="B165" s="11" t="s">
        <v>173</v>
      </c>
      <c r="C165" s="16" t="s">
        <v>467</v>
      </c>
      <c r="D165" s="37" t="s">
        <v>35</v>
      </c>
      <c r="E165" s="19">
        <v>12.9564</v>
      </c>
      <c r="F165" s="19">
        <v>11.66076</v>
      </c>
      <c r="G165" s="38">
        <f t="shared" ref="G165:G198" si="12">ROUNDUP(E165*0.87*1.1/0.84,2)</f>
        <v>14.77</v>
      </c>
      <c r="H165" s="38">
        <f t="shared" ref="H165:H198" si="13">ROUNDUP(F165*1.1,2)</f>
        <v>12.83</v>
      </c>
      <c r="I165" s="38">
        <f t="shared" ref="I165:I198" si="14">ROUNDUP(E165*0.87*1.15/0.84,2)</f>
        <v>15.44</v>
      </c>
      <c r="J165" s="38">
        <f t="shared" ref="J165:J198" si="15">ROUNDUP(F165*1.5,2)</f>
        <v>17.5</v>
      </c>
      <c r="K165" s="17" t="s">
        <v>302</v>
      </c>
      <c r="L165" s="6">
        <f>(-H165+G165)/G165</f>
        <v>0.13134732566012183</v>
      </c>
    </row>
    <row r="166" spans="1:12" s="1" customFormat="1" x14ac:dyDescent="0.3">
      <c r="A166" s="11" t="s">
        <v>174</v>
      </c>
      <c r="B166" s="11" t="s">
        <v>174</v>
      </c>
      <c r="C166" s="16" t="s">
        <v>468</v>
      </c>
      <c r="D166" s="37" t="s">
        <v>15</v>
      </c>
      <c r="E166" s="19">
        <v>1.7</v>
      </c>
      <c r="F166" s="19">
        <v>1.7</v>
      </c>
      <c r="G166" s="38">
        <f t="shared" si="12"/>
        <v>1.94</v>
      </c>
      <c r="H166" s="38">
        <f t="shared" si="13"/>
        <v>1.87</v>
      </c>
      <c r="I166" s="38">
        <f t="shared" si="14"/>
        <v>2.0299999999999998</v>
      </c>
      <c r="J166" s="38">
        <f t="shared" si="15"/>
        <v>2.5499999999999998</v>
      </c>
      <c r="K166" s="17" t="s">
        <v>238</v>
      </c>
      <c r="L166" s="6">
        <f>(-H166+G166)/G166</f>
        <v>3.6082474226804044E-2</v>
      </c>
    </row>
    <row r="167" spans="1:12" s="1" customFormat="1" x14ac:dyDescent="0.3">
      <c r="A167" s="11" t="s">
        <v>175</v>
      </c>
      <c r="B167" s="11" t="s">
        <v>175</v>
      </c>
      <c r="C167" s="16" t="s">
        <v>469</v>
      </c>
      <c r="D167" s="37" t="s">
        <v>176</v>
      </c>
      <c r="E167" s="19">
        <v>5.6</v>
      </c>
      <c r="F167" s="19">
        <v>5.6</v>
      </c>
      <c r="G167" s="38">
        <f t="shared" si="12"/>
        <v>6.38</v>
      </c>
      <c r="H167" s="38">
        <f t="shared" si="13"/>
        <v>6.16</v>
      </c>
      <c r="I167" s="38">
        <f t="shared" si="14"/>
        <v>6.67</v>
      </c>
      <c r="J167" s="38">
        <f t="shared" si="15"/>
        <v>8.4</v>
      </c>
      <c r="K167" s="17" t="s">
        <v>238</v>
      </c>
      <c r="L167" s="6">
        <f>(-H167+G167)/G167</f>
        <v>3.448275862068962E-2</v>
      </c>
    </row>
    <row r="168" spans="1:12" s="1" customFormat="1" x14ac:dyDescent="0.3">
      <c r="A168" s="11" t="s">
        <v>177</v>
      </c>
      <c r="B168" s="11" t="s">
        <v>177</v>
      </c>
      <c r="C168" s="16" t="s">
        <v>470</v>
      </c>
      <c r="D168" s="37" t="s">
        <v>24</v>
      </c>
      <c r="E168" s="19">
        <v>9.5400000000000009</v>
      </c>
      <c r="F168" s="19">
        <v>9</v>
      </c>
      <c r="G168" s="38">
        <f t="shared" si="12"/>
        <v>10.87</v>
      </c>
      <c r="H168" s="38">
        <f t="shared" si="13"/>
        <v>9.9</v>
      </c>
      <c r="I168" s="38">
        <f t="shared" si="14"/>
        <v>11.37</v>
      </c>
      <c r="J168" s="38">
        <f t="shared" si="15"/>
        <v>13.5</v>
      </c>
      <c r="K168" s="17" t="s">
        <v>303</v>
      </c>
      <c r="L168" s="6">
        <f>(-H168+G168)/G168</f>
        <v>8.9236430542778189E-2</v>
      </c>
    </row>
    <row r="169" spans="1:12" s="1" customFormat="1" x14ac:dyDescent="0.3">
      <c r="A169" s="11" t="s">
        <v>178</v>
      </c>
      <c r="B169" s="11" t="s">
        <v>178</v>
      </c>
      <c r="C169" s="16" t="s">
        <v>471</v>
      </c>
      <c r="D169" s="37" t="s">
        <v>24</v>
      </c>
      <c r="E169" s="19">
        <v>2</v>
      </c>
      <c r="F169" s="19">
        <v>1.8</v>
      </c>
      <c r="G169" s="38">
        <f t="shared" si="12"/>
        <v>2.2799999999999998</v>
      </c>
      <c r="H169" s="38">
        <f t="shared" si="13"/>
        <v>1.98</v>
      </c>
      <c r="I169" s="38">
        <f t="shared" si="14"/>
        <v>2.3899999999999997</v>
      </c>
      <c r="J169" s="38">
        <f t="shared" si="15"/>
        <v>2.7</v>
      </c>
      <c r="K169" s="17" t="s">
        <v>278</v>
      </c>
      <c r="L169" s="6">
        <f>(-H169+G169)/G169</f>
        <v>0.13157894736842099</v>
      </c>
    </row>
    <row r="170" spans="1:12" s="1" customFormat="1" x14ac:dyDescent="0.3">
      <c r="A170" s="11" t="s">
        <v>179</v>
      </c>
      <c r="B170" s="11" t="s">
        <v>179</v>
      </c>
      <c r="C170" s="16" t="s">
        <v>472</v>
      </c>
      <c r="D170" s="37" t="s">
        <v>24</v>
      </c>
      <c r="E170" s="19">
        <v>12</v>
      </c>
      <c r="F170" s="19">
        <v>12</v>
      </c>
      <c r="G170" s="38">
        <f t="shared" si="12"/>
        <v>13.68</v>
      </c>
      <c r="H170" s="38">
        <f t="shared" si="13"/>
        <v>13.2</v>
      </c>
      <c r="I170" s="38">
        <f t="shared" si="14"/>
        <v>14.299999999999999</v>
      </c>
      <c r="J170" s="38">
        <f t="shared" si="15"/>
        <v>18</v>
      </c>
      <c r="K170" s="17" t="s">
        <v>278</v>
      </c>
      <c r="L170" s="6">
        <f>(-H170+G170)/G170</f>
        <v>3.5087719298245647E-2</v>
      </c>
    </row>
    <row r="171" spans="1:12" s="1" customFormat="1" x14ac:dyDescent="0.3">
      <c r="A171" s="11" t="s">
        <v>180</v>
      </c>
      <c r="B171" s="11" t="s">
        <v>180</v>
      </c>
      <c r="C171" s="25" t="s">
        <v>473</v>
      </c>
      <c r="D171" s="37" t="s">
        <v>24</v>
      </c>
      <c r="E171" s="19">
        <v>3</v>
      </c>
      <c r="F171" s="19">
        <v>3</v>
      </c>
      <c r="G171" s="38">
        <f t="shared" si="12"/>
        <v>3.42</v>
      </c>
      <c r="H171" s="38">
        <f t="shared" si="13"/>
        <v>3.3</v>
      </c>
      <c r="I171" s="38">
        <f t="shared" si="14"/>
        <v>3.5799999999999996</v>
      </c>
      <c r="J171" s="38">
        <f t="shared" si="15"/>
        <v>4.5</v>
      </c>
      <c r="K171" s="17" t="s">
        <v>278</v>
      </c>
      <c r="L171" s="6">
        <f>(-H171+G171)/G171</f>
        <v>3.5087719298245647E-2</v>
      </c>
    </row>
    <row r="172" spans="1:12" s="1" customFormat="1" x14ac:dyDescent="0.3">
      <c r="A172" s="11" t="s">
        <v>181</v>
      </c>
      <c r="B172" s="11" t="s">
        <v>181</v>
      </c>
      <c r="C172" s="25" t="s">
        <v>474</v>
      </c>
      <c r="D172" s="37" t="s">
        <v>24</v>
      </c>
      <c r="E172" s="19">
        <v>1</v>
      </c>
      <c r="F172" s="19">
        <v>1</v>
      </c>
      <c r="G172" s="38">
        <f t="shared" si="12"/>
        <v>1.1399999999999999</v>
      </c>
      <c r="H172" s="38">
        <f t="shared" si="13"/>
        <v>1.1000000000000001</v>
      </c>
      <c r="I172" s="38">
        <f t="shared" si="14"/>
        <v>1.2</v>
      </c>
      <c r="J172" s="38">
        <f t="shared" si="15"/>
        <v>1.5</v>
      </c>
      <c r="K172" s="17" t="s">
        <v>278</v>
      </c>
      <c r="L172" s="6">
        <f>(-H172+G172)/G172</f>
        <v>3.5087719298245452E-2</v>
      </c>
    </row>
    <row r="173" spans="1:12" s="1" customFormat="1" x14ac:dyDescent="0.3">
      <c r="A173" s="11" t="s">
        <v>182</v>
      </c>
      <c r="B173" s="11" t="s">
        <v>182</v>
      </c>
      <c r="C173" s="25" t="s">
        <v>475</v>
      </c>
      <c r="D173" s="37" t="s">
        <v>35</v>
      </c>
      <c r="E173" s="19">
        <v>21.200000000000003</v>
      </c>
      <c r="F173" s="10">
        <v>20</v>
      </c>
      <c r="G173" s="38">
        <f t="shared" si="12"/>
        <v>24.16</v>
      </c>
      <c r="H173" s="38">
        <f t="shared" si="13"/>
        <v>22</v>
      </c>
      <c r="I173" s="38">
        <f t="shared" si="14"/>
        <v>25.26</v>
      </c>
      <c r="J173" s="38">
        <f t="shared" si="15"/>
        <v>30</v>
      </c>
      <c r="K173" s="17" t="s">
        <v>304</v>
      </c>
      <c r="L173" s="6">
        <f>(-H173+G173)/G173</f>
        <v>8.9403973509933773E-2</v>
      </c>
    </row>
    <row r="174" spans="1:12" s="1" customFormat="1" x14ac:dyDescent="0.3">
      <c r="A174" s="11" t="s">
        <v>183</v>
      </c>
      <c r="B174" s="11" t="s">
        <v>183</v>
      </c>
      <c r="C174" s="25" t="s">
        <v>476</v>
      </c>
      <c r="D174" s="37" t="s">
        <v>35</v>
      </c>
      <c r="E174" s="19">
        <v>31.8</v>
      </c>
      <c r="F174" s="10">
        <v>30</v>
      </c>
      <c r="G174" s="38">
        <f t="shared" si="12"/>
        <v>36.229999999999997</v>
      </c>
      <c r="H174" s="38">
        <f t="shared" si="13"/>
        <v>33</v>
      </c>
      <c r="I174" s="38">
        <f t="shared" si="14"/>
        <v>37.879999999999995</v>
      </c>
      <c r="J174" s="38">
        <f t="shared" si="15"/>
        <v>45</v>
      </c>
      <c r="K174" s="17" t="s">
        <v>305</v>
      </c>
      <c r="L174" s="6">
        <f>(-H174+G174)/G174</f>
        <v>8.9152635937068653E-2</v>
      </c>
    </row>
    <row r="175" spans="1:12" s="1" customFormat="1" x14ac:dyDescent="0.3">
      <c r="A175" s="11" t="s">
        <v>184</v>
      </c>
      <c r="B175" s="11" t="s">
        <v>184</v>
      </c>
      <c r="C175" s="25" t="s">
        <v>477</v>
      </c>
      <c r="D175" s="37" t="s">
        <v>35</v>
      </c>
      <c r="E175" s="19">
        <v>15.9</v>
      </c>
      <c r="F175" s="10">
        <v>15</v>
      </c>
      <c r="G175" s="38">
        <f t="shared" si="12"/>
        <v>18.12</v>
      </c>
      <c r="H175" s="38">
        <f t="shared" si="13"/>
        <v>16.5</v>
      </c>
      <c r="I175" s="38">
        <f t="shared" si="14"/>
        <v>18.940000000000001</v>
      </c>
      <c r="J175" s="38">
        <f t="shared" si="15"/>
        <v>22.5</v>
      </c>
      <c r="K175" s="17" t="s">
        <v>306</v>
      </c>
      <c r="L175" s="6">
        <f>(-H175+G175)/G175</f>
        <v>8.9403973509933829E-2</v>
      </c>
    </row>
    <row r="176" spans="1:12" s="1" customFormat="1" x14ac:dyDescent="0.3">
      <c r="A176" s="11" t="s">
        <v>185</v>
      </c>
      <c r="B176" s="11" t="s">
        <v>185</v>
      </c>
      <c r="C176" s="25" t="s">
        <v>478</v>
      </c>
      <c r="D176" s="37" t="s">
        <v>35</v>
      </c>
      <c r="E176" s="19">
        <v>21.200000000000003</v>
      </c>
      <c r="F176" s="10">
        <v>20</v>
      </c>
      <c r="G176" s="38">
        <f t="shared" si="12"/>
        <v>24.16</v>
      </c>
      <c r="H176" s="38">
        <f t="shared" si="13"/>
        <v>22</v>
      </c>
      <c r="I176" s="38">
        <f t="shared" si="14"/>
        <v>25.26</v>
      </c>
      <c r="J176" s="38">
        <f t="shared" si="15"/>
        <v>30</v>
      </c>
      <c r="K176" s="17" t="s">
        <v>307</v>
      </c>
      <c r="L176" s="6">
        <f>(-H176+G176)/G176</f>
        <v>8.9403973509933773E-2</v>
      </c>
    </row>
    <row r="177" spans="1:13" s="1" customFormat="1" x14ac:dyDescent="0.3">
      <c r="A177" s="11" t="s">
        <v>186</v>
      </c>
      <c r="B177" s="11" t="s">
        <v>186</v>
      </c>
      <c r="C177" s="25" t="s">
        <v>479</v>
      </c>
      <c r="D177" s="37" t="s">
        <v>35</v>
      </c>
      <c r="E177" s="19">
        <v>14.84</v>
      </c>
      <c r="F177" s="10">
        <v>14</v>
      </c>
      <c r="G177" s="38">
        <f t="shared" si="12"/>
        <v>16.91</v>
      </c>
      <c r="H177" s="38">
        <f t="shared" si="13"/>
        <v>15.4</v>
      </c>
      <c r="I177" s="38">
        <f t="shared" si="14"/>
        <v>17.680000000000003</v>
      </c>
      <c r="J177" s="38">
        <f t="shared" si="15"/>
        <v>21</v>
      </c>
      <c r="K177" s="17" t="s">
        <v>308</v>
      </c>
      <c r="L177" s="6">
        <f>(-H177+G177)/G177</f>
        <v>8.9296274393849781E-2</v>
      </c>
    </row>
    <row r="178" spans="1:13" s="26" customFormat="1" x14ac:dyDescent="0.3">
      <c r="A178" s="11" t="s">
        <v>187</v>
      </c>
      <c r="B178" s="11" t="s">
        <v>187</v>
      </c>
      <c r="C178" s="43" t="s">
        <v>480</v>
      </c>
      <c r="D178" s="37" t="s">
        <v>24</v>
      </c>
      <c r="E178" s="19">
        <v>7.42</v>
      </c>
      <c r="F178" s="10">
        <v>7</v>
      </c>
      <c r="G178" s="38">
        <f t="shared" si="12"/>
        <v>8.4599999999999991</v>
      </c>
      <c r="H178" s="38">
        <f t="shared" si="13"/>
        <v>7.7</v>
      </c>
      <c r="I178" s="38">
        <f t="shared" si="14"/>
        <v>8.84</v>
      </c>
      <c r="J178" s="38">
        <f t="shared" si="15"/>
        <v>10.5</v>
      </c>
      <c r="K178" s="17" t="s">
        <v>278</v>
      </c>
      <c r="L178" s="6">
        <f>(-H178+G178)/G178</f>
        <v>8.983451536643014E-2</v>
      </c>
      <c r="M178" s="1"/>
    </row>
    <row r="179" spans="1:13" s="26" customFormat="1" x14ac:dyDescent="0.3">
      <c r="A179" s="11" t="s">
        <v>188</v>
      </c>
      <c r="B179" s="11" t="s">
        <v>188</v>
      </c>
      <c r="C179" s="44" t="s">
        <v>189</v>
      </c>
      <c r="D179" s="37" t="s">
        <v>35</v>
      </c>
      <c r="E179" s="19">
        <v>42.6</v>
      </c>
      <c r="F179" s="19">
        <v>42.6</v>
      </c>
      <c r="G179" s="38">
        <f t="shared" si="12"/>
        <v>48.54</v>
      </c>
      <c r="H179" s="38">
        <f t="shared" si="13"/>
        <v>46.86</v>
      </c>
      <c r="I179" s="38">
        <f t="shared" si="14"/>
        <v>50.739999999999995</v>
      </c>
      <c r="J179" s="38">
        <f t="shared" si="15"/>
        <v>63.9</v>
      </c>
      <c r="K179" s="23" t="s">
        <v>309</v>
      </c>
      <c r="L179" s="6">
        <f>(-H179+G179)/G179</f>
        <v>3.4610630407910993E-2</v>
      </c>
      <c r="M179" s="1"/>
    </row>
    <row r="180" spans="1:13" s="26" customFormat="1" x14ac:dyDescent="0.3">
      <c r="A180" s="11" t="s">
        <v>190</v>
      </c>
      <c r="B180" s="11" t="s">
        <v>190</v>
      </c>
      <c r="C180" s="16" t="s">
        <v>481</v>
      </c>
      <c r="D180" s="37" t="s">
        <v>35</v>
      </c>
      <c r="E180" s="19">
        <v>55.9</v>
      </c>
      <c r="F180" s="19">
        <v>55.9</v>
      </c>
      <c r="G180" s="38">
        <f t="shared" si="12"/>
        <v>63.69</v>
      </c>
      <c r="H180" s="38">
        <f t="shared" si="13"/>
        <v>61.49</v>
      </c>
      <c r="I180" s="38">
        <f t="shared" si="14"/>
        <v>66.59</v>
      </c>
      <c r="J180" s="38">
        <f t="shared" si="15"/>
        <v>83.85</v>
      </c>
      <c r="K180" s="24" t="s">
        <v>310</v>
      </c>
      <c r="L180" s="6">
        <f>(-H180+G180)/G180</f>
        <v>3.4542314335060387E-2</v>
      </c>
      <c r="M180" s="1"/>
    </row>
    <row r="181" spans="1:13" s="26" customFormat="1" x14ac:dyDescent="0.3">
      <c r="A181" s="11" t="s">
        <v>191</v>
      </c>
      <c r="B181" s="11" t="s">
        <v>191</v>
      </c>
      <c r="C181" s="16" t="s">
        <v>482</v>
      </c>
      <c r="D181" s="37" t="s">
        <v>35</v>
      </c>
      <c r="E181" s="19">
        <v>59.800000000000004</v>
      </c>
      <c r="F181" s="19">
        <v>59.800000000000004</v>
      </c>
      <c r="G181" s="38">
        <f t="shared" si="12"/>
        <v>68.13000000000001</v>
      </c>
      <c r="H181" s="38">
        <f t="shared" si="13"/>
        <v>65.78</v>
      </c>
      <c r="I181" s="38">
        <f t="shared" si="14"/>
        <v>71.23</v>
      </c>
      <c r="J181" s="38">
        <f t="shared" si="15"/>
        <v>89.7</v>
      </c>
      <c r="K181" s="24" t="s">
        <v>311</v>
      </c>
      <c r="L181" s="6">
        <f>(-H181+G181)/G181</f>
        <v>3.4492881256421665E-2</v>
      </c>
      <c r="M181" s="1"/>
    </row>
    <row r="182" spans="1:13" s="26" customFormat="1" x14ac:dyDescent="0.3">
      <c r="A182" s="11" t="s">
        <v>192</v>
      </c>
      <c r="B182" s="11" t="s">
        <v>192</v>
      </c>
      <c r="C182" s="16" t="s">
        <v>483</v>
      </c>
      <c r="D182" s="37" t="s">
        <v>35</v>
      </c>
      <c r="E182" s="19">
        <v>31.200000000000003</v>
      </c>
      <c r="F182" s="19">
        <v>31.200000000000003</v>
      </c>
      <c r="G182" s="38">
        <f t="shared" si="12"/>
        <v>35.549999999999997</v>
      </c>
      <c r="H182" s="38">
        <f t="shared" si="13"/>
        <v>34.32</v>
      </c>
      <c r="I182" s="38">
        <f t="shared" si="14"/>
        <v>37.169999999999995</v>
      </c>
      <c r="J182" s="38">
        <f t="shared" si="15"/>
        <v>46.8</v>
      </c>
      <c r="K182" s="24" t="s">
        <v>312</v>
      </c>
      <c r="L182" s="6">
        <f>(-H182+G182)/G182</f>
        <v>3.4599156118143376E-2</v>
      </c>
      <c r="M182" s="1"/>
    </row>
    <row r="183" spans="1:13" s="26" customFormat="1" x14ac:dyDescent="0.3">
      <c r="A183" s="11" t="s">
        <v>193</v>
      </c>
      <c r="B183" s="11" t="s">
        <v>193</v>
      </c>
      <c r="C183" s="43" t="s">
        <v>484</v>
      </c>
      <c r="D183" s="37" t="s">
        <v>24</v>
      </c>
      <c r="E183" s="19">
        <v>7.42</v>
      </c>
      <c r="F183" s="10">
        <v>7</v>
      </c>
      <c r="G183" s="38">
        <f t="shared" si="12"/>
        <v>8.4599999999999991</v>
      </c>
      <c r="H183" s="38">
        <f t="shared" si="13"/>
        <v>7.7</v>
      </c>
      <c r="I183" s="38">
        <f t="shared" si="14"/>
        <v>8.84</v>
      </c>
      <c r="J183" s="38">
        <f t="shared" si="15"/>
        <v>10.5</v>
      </c>
      <c r="K183" s="17" t="s">
        <v>278</v>
      </c>
      <c r="L183" s="6">
        <f>(-H183+G183)/G183</f>
        <v>8.983451536643014E-2</v>
      </c>
      <c r="M183" s="1"/>
    </row>
    <row r="184" spans="1:13" s="26" customFormat="1" x14ac:dyDescent="0.3">
      <c r="A184" s="11" t="s">
        <v>194</v>
      </c>
      <c r="B184" s="11" t="s">
        <v>194</v>
      </c>
      <c r="C184" s="16" t="s">
        <v>485</v>
      </c>
      <c r="D184" s="37" t="s">
        <v>35</v>
      </c>
      <c r="E184" s="19">
        <v>12</v>
      </c>
      <c r="F184" s="19">
        <v>12</v>
      </c>
      <c r="G184" s="38">
        <f t="shared" si="12"/>
        <v>13.68</v>
      </c>
      <c r="H184" s="38">
        <f t="shared" si="13"/>
        <v>13.2</v>
      </c>
      <c r="I184" s="38">
        <f t="shared" si="14"/>
        <v>14.299999999999999</v>
      </c>
      <c r="J184" s="38">
        <f t="shared" si="15"/>
        <v>18</v>
      </c>
      <c r="K184" s="24" t="s">
        <v>313</v>
      </c>
      <c r="L184" s="6">
        <f>(-H184+G184)/G184</f>
        <v>3.5087719298245647E-2</v>
      </c>
      <c r="M184" s="1"/>
    </row>
    <row r="185" spans="1:13" s="26" customFormat="1" x14ac:dyDescent="0.3">
      <c r="A185" s="11" t="s">
        <v>195</v>
      </c>
      <c r="B185" s="11" t="s">
        <v>195</v>
      </c>
      <c r="C185" s="16" t="s">
        <v>486</v>
      </c>
      <c r="D185" s="37" t="s">
        <v>35</v>
      </c>
      <c r="E185" s="19">
        <v>14.399999999999999</v>
      </c>
      <c r="F185" s="10">
        <v>14.399999999999999</v>
      </c>
      <c r="G185" s="38">
        <f t="shared" si="12"/>
        <v>16.41</v>
      </c>
      <c r="H185" s="38">
        <f t="shared" si="13"/>
        <v>15.84</v>
      </c>
      <c r="I185" s="38">
        <f t="shared" si="14"/>
        <v>17.16</v>
      </c>
      <c r="J185" s="38">
        <f t="shared" si="15"/>
        <v>21.6</v>
      </c>
      <c r="K185" s="24" t="s">
        <v>314</v>
      </c>
      <c r="L185" s="6">
        <f>(-H185+G185)/G185</f>
        <v>3.4734917733089593E-2</v>
      </c>
      <c r="M185" s="1"/>
    </row>
    <row r="186" spans="1:13" s="26" customFormat="1" x14ac:dyDescent="0.3">
      <c r="A186" s="11" t="s">
        <v>196</v>
      </c>
      <c r="B186" s="11" t="s">
        <v>196</v>
      </c>
      <c r="C186" s="16" t="s">
        <v>487</v>
      </c>
      <c r="D186" s="37" t="s">
        <v>108</v>
      </c>
      <c r="E186" s="19">
        <v>3.75</v>
      </c>
      <c r="F186" s="10">
        <v>3.75</v>
      </c>
      <c r="G186" s="38">
        <f t="shared" si="12"/>
        <v>4.2799999999999994</v>
      </c>
      <c r="H186" s="38">
        <f t="shared" si="13"/>
        <v>4.13</v>
      </c>
      <c r="I186" s="38">
        <f t="shared" si="14"/>
        <v>4.47</v>
      </c>
      <c r="J186" s="38">
        <f t="shared" si="15"/>
        <v>5.63</v>
      </c>
      <c r="K186" s="24" t="s">
        <v>315</v>
      </c>
      <c r="L186" s="6">
        <f>(-H186+G186)/G186</f>
        <v>3.5046728971962496E-2</v>
      </c>
      <c r="M186" s="1"/>
    </row>
    <row r="187" spans="1:13" s="26" customFormat="1" x14ac:dyDescent="0.3">
      <c r="A187" s="11" t="s">
        <v>197</v>
      </c>
      <c r="B187" s="11" t="s">
        <v>197</v>
      </c>
      <c r="C187" s="16" t="s">
        <v>488</v>
      </c>
      <c r="D187" s="37" t="s">
        <v>35</v>
      </c>
      <c r="E187" s="10">
        <v>19.5</v>
      </c>
      <c r="F187" s="10">
        <v>19.5</v>
      </c>
      <c r="G187" s="38">
        <f t="shared" si="12"/>
        <v>22.220000000000002</v>
      </c>
      <c r="H187" s="38">
        <f t="shared" si="13"/>
        <v>21.45</v>
      </c>
      <c r="I187" s="38">
        <f t="shared" si="14"/>
        <v>23.23</v>
      </c>
      <c r="J187" s="38">
        <f t="shared" si="15"/>
        <v>29.25</v>
      </c>
      <c r="K187" s="24" t="s">
        <v>316</v>
      </c>
      <c r="L187" s="6">
        <f>(-H187+G187)/G187</f>
        <v>3.4653465346534788E-2</v>
      </c>
      <c r="M187" s="1"/>
    </row>
    <row r="188" spans="1:13" s="1" customFormat="1" x14ac:dyDescent="0.3">
      <c r="A188" s="11" t="s">
        <v>198</v>
      </c>
      <c r="B188" s="11" t="s">
        <v>198</v>
      </c>
      <c r="C188" s="16" t="s">
        <v>489</v>
      </c>
      <c r="D188" s="37" t="s">
        <v>35</v>
      </c>
      <c r="E188" s="19">
        <v>69</v>
      </c>
      <c r="F188" s="19">
        <v>69</v>
      </c>
      <c r="G188" s="38">
        <f t="shared" si="12"/>
        <v>78.62</v>
      </c>
      <c r="H188" s="38">
        <f t="shared" si="13"/>
        <v>75.900000000000006</v>
      </c>
      <c r="I188" s="38">
        <f t="shared" si="14"/>
        <v>82.190000000000012</v>
      </c>
      <c r="J188" s="38">
        <f t="shared" si="15"/>
        <v>103.5</v>
      </c>
      <c r="K188" s="24" t="s">
        <v>317</v>
      </c>
      <c r="L188" s="6">
        <f>(-H188+G188)/G188</f>
        <v>3.4596794708725502E-2</v>
      </c>
    </row>
    <row r="189" spans="1:13" s="26" customFormat="1" x14ac:dyDescent="0.3">
      <c r="A189" s="11" t="s">
        <v>199</v>
      </c>
      <c r="B189" s="11" t="s">
        <v>199</v>
      </c>
      <c r="C189" s="16" t="s">
        <v>490</v>
      </c>
      <c r="D189" s="37" t="s">
        <v>35</v>
      </c>
      <c r="E189" s="19">
        <v>24.747999999999998</v>
      </c>
      <c r="F189" s="19">
        <v>24.747999999999998</v>
      </c>
      <c r="G189" s="38">
        <f t="shared" si="12"/>
        <v>28.200000000000003</v>
      </c>
      <c r="H189" s="38">
        <f t="shared" si="13"/>
        <v>27.23</v>
      </c>
      <c r="I189" s="38">
        <f t="shared" si="14"/>
        <v>29.48</v>
      </c>
      <c r="J189" s="38">
        <f t="shared" si="15"/>
        <v>37.129999999999995</v>
      </c>
      <c r="K189" s="24" t="s">
        <v>318</v>
      </c>
      <c r="L189" s="6">
        <f>(-H189+G189)/G189</f>
        <v>3.439716312056746E-2</v>
      </c>
      <c r="M189" s="1"/>
    </row>
    <row r="190" spans="1:13" s="26" customFormat="1" x14ac:dyDescent="0.3">
      <c r="A190" s="11" t="s">
        <v>200</v>
      </c>
      <c r="B190" s="11" t="s">
        <v>200</v>
      </c>
      <c r="C190" s="16" t="s">
        <v>491</v>
      </c>
      <c r="D190" s="37" t="s">
        <v>35</v>
      </c>
      <c r="E190" s="19">
        <v>28.634999999999994</v>
      </c>
      <c r="F190" s="19">
        <v>28.634999999999994</v>
      </c>
      <c r="G190" s="38">
        <f t="shared" si="12"/>
        <v>32.629999999999995</v>
      </c>
      <c r="H190" s="38">
        <f t="shared" si="13"/>
        <v>31.5</v>
      </c>
      <c r="I190" s="38">
        <f t="shared" si="14"/>
        <v>34.11</v>
      </c>
      <c r="J190" s="38">
        <f t="shared" si="15"/>
        <v>42.96</v>
      </c>
      <c r="K190" s="24" t="s">
        <v>319</v>
      </c>
      <c r="L190" s="6">
        <f>(-H190+G190)/G190</f>
        <v>3.4630707937480715E-2</v>
      </c>
      <c r="M190" s="1"/>
    </row>
    <row r="191" spans="1:13" s="26" customFormat="1" x14ac:dyDescent="0.3">
      <c r="A191" s="11" t="s">
        <v>201</v>
      </c>
      <c r="B191" s="11" t="s">
        <v>201</v>
      </c>
      <c r="C191" s="16" t="s">
        <v>492</v>
      </c>
      <c r="D191" s="37" t="s">
        <v>35</v>
      </c>
      <c r="E191" s="19">
        <v>41.008999999999993</v>
      </c>
      <c r="F191" s="19">
        <v>41.008999999999993</v>
      </c>
      <c r="G191" s="38">
        <f t="shared" si="12"/>
        <v>46.73</v>
      </c>
      <c r="H191" s="38">
        <f t="shared" si="13"/>
        <v>45.11</v>
      </c>
      <c r="I191" s="38">
        <f t="shared" si="14"/>
        <v>48.85</v>
      </c>
      <c r="J191" s="38">
        <f t="shared" si="15"/>
        <v>61.519999999999996</v>
      </c>
      <c r="K191" s="24" t="s">
        <v>318</v>
      </c>
      <c r="L191" s="6">
        <f>(-H191+G191)/G191</f>
        <v>3.4667237320778893E-2</v>
      </c>
      <c r="M191" s="1"/>
    </row>
    <row r="192" spans="1:13" s="26" customFormat="1" x14ac:dyDescent="0.3">
      <c r="A192" s="11" t="s">
        <v>202</v>
      </c>
      <c r="B192" s="11" t="s">
        <v>202</v>
      </c>
      <c r="C192" s="45" t="s">
        <v>493</v>
      </c>
      <c r="D192" s="37" t="s">
        <v>211</v>
      </c>
      <c r="E192" s="19">
        <v>6.386333333333333</v>
      </c>
      <c r="F192" s="19">
        <v>6.386333333333333</v>
      </c>
      <c r="G192" s="38">
        <f t="shared" si="12"/>
        <v>7.2799999999999994</v>
      </c>
      <c r="H192" s="38">
        <f t="shared" si="13"/>
        <v>7.0299999999999994</v>
      </c>
      <c r="I192" s="38">
        <f t="shared" si="14"/>
        <v>7.6099999999999994</v>
      </c>
      <c r="J192" s="38">
        <f t="shared" si="15"/>
        <v>9.58</v>
      </c>
      <c r="K192" s="24" t="s">
        <v>320</v>
      </c>
      <c r="L192" s="6">
        <f>(-H192+G192)/G192</f>
        <v>3.4340659340659344E-2</v>
      </c>
      <c r="M192" s="1"/>
    </row>
    <row r="193" spans="1:13" s="26" customFormat="1" x14ac:dyDescent="0.3">
      <c r="A193" s="11" t="s">
        <v>203</v>
      </c>
      <c r="B193" s="11" t="s">
        <v>203</v>
      </c>
      <c r="C193" s="46" t="s">
        <v>494</v>
      </c>
      <c r="D193" s="37" t="s">
        <v>211</v>
      </c>
      <c r="E193" s="19">
        <v>2.1505000000000001</v>
      </c>
      <c r="F193" s="19">
        <v>2.1505000000000001</v>
      </c>
      <c r="G193" s="38">
        <f t="shared" si="12"/>
        <v>2.46</v>
      </c>
      <c r="H193" s="38">
        <f t="shared" si="13"/>
        <v>2.3699999999999997</v>
      </c>
      <c r="I193" s="38">
        <f t="shared" si="14"/>
        <v>2.57</v>
      </c>
      <c r="J193" s="38">
        <f t="shared" si="15"/>
        <v>3.23</v>
      </c>
      <c r="K193" s="24" t="s">
        <v>321</v>
      </c>
      <c r="L193" s="6">
        <f>(-H193+G193)/G193</f>
        <v>3.6585365853658659E-2</v>
      </c>
      <c r="M193" s="1"/>
    </row>
    <row r="194" spans="1:13" s="26" customFormat="1" x14ac:dyDescent="0.3">
      <c r="A194" s="11" t="s">
        <v>204</v>
      </c>
      <c r="B194" s="11" t="s">
        <v>204</v>
      </c>
      <c r="C194" s="46" t="s">
        <v>495</v>
      </c>
      <c r="D194" s="37" t="s">
        <v>211</v>
      </c>
      <c r="E194" s="19">
        <v>4.9737499999999999</v>
      </c>
      <c r="F194" s="19">
        <v>4.9737499999999999</v>
      </c>
      <c r="G194" s="38">
        <f t="shared" si="12"/>
        <v>5.67</v>
      </c>
      <c r="H194" s="38">
        <f t="shared" si="13"/>
        <v>5.4799999999999995</v>
      </c>
      <c r="I194" s="38">
        <f t="shared" si="14"/>
        <v>5.93</v>
      </c>
      <c r="J194" s="38">
        <f t="shared" si="15"/>
        <v>7.47</v>
      </c>
      <c r="K194" s="24" t="s">
        <v>322</v>
      </c>
      <c r="L194" s="6">
        <f>(-H194+G194)/G194</f>
        <v>3.3509700176366911E-2</v>
      </c>
      <c r="M194" s="1"/>
    </row>
    <row r="195" spans="1:13" s="26" customFormat="1" x14ac:dyDescent="0.3">
      <c r="A195" s="11" t="s">
        <v>205</v>
      </c>
      <c r="B195" s="11" t="s">
        <v>205</v>
      </c>
      <c r="C195" s="46" t="s">
        <v>496</v>
      </c>
      <c r="D195" s="37" t="s">
        <v>211</v>
      </c>
      <c r="E195" s="19">
        <v>3.089666666666667</v>
      </c>
      <c r="F195" s="19">
        <v>3.089666666666667</v>
      </c>
      <c r="G195" s="38">
        <f t="shared" si="12"/>
        <v>3.53</v>
      </c>
      <c r="H195" s="38">
        <f t="shared" si="13"/>
        <v>3.4</v>
      </c>
      <c r="I195" s="38">
        <f t="shared" si="14"/>
        <v>3.69</v>
      </c>
      <c r="J195" s="38">
        <f t="shared" si="15"/>
        <v>4.6399999999999997</v>
      </c>
      <c r="K195" s="24" t="s">
        <v>323</v>
      </c>
      <c r="L195" s="6">
        <f>(-H195+G195)/G195</f>
        <v>3.6827195467422066E-2</v>
      </c>
      <c r="M195" s="1"/>
    </row>
    <row r="196" spans="1:13" s="26" customFormat="1" x14ac:dyDescent="0.3">
      <c r="A196" s="11" t="s">
        <v>206</v>
      </c>
      <c r="B196" s="11" t="s">
        <v>206</v>
      </c>
      <c r="C196" s="43" t="s">
        <v>497</v>
      </c>
      <c r="D196" s="37" t="s">
        <v>24</v>
      </c>
      <c r="E196" s="19">
        <v>16</v>
      </c>
      <c r="F196" s="19">
        <v>15</v>
      </c>
      <c r="G196" s="38">
        <f t="shared" si="12"/>
        <v>18.23</v>
      </c>
      <c r="H196" s="38">
        <f t="shared" si="13"/>
        <v>16.5</v>
      </c>
      <c r="I196" s="38">
        <f t="shared" si="14"/>
        <v>19.060000000000002</v>
      </c>
      <c r="J196" s="38">
        <f t="shared" si="15"/>
        <v>22.5</v>
      </c>
      <c r="K196" s="24" t="s">
        <v>278</v>
      </c>
      <c r="L196" s="6">
        <f>(-H196+G196)/G196</f>
        <v>9.4898518924849171E-2</v>
      </c>
      <c r="M196" s="1"/>
    </row>
    <row r="197" spans="1:13" s="26" customFormat="1" x14ac:dyDescent="0.3">
      <c r="A197" s="11" t="s">
        <v>207</v>
      </c>
      <c r="B197" s="11" t="s">
        <v>207</v>
      </c>
      <c r="C197" s="43" t="s">
        <v>498</v>
      </c>
      <c r="D197" s="37" t="s">
        <v>24</v>
      </c>
      <c r="E197" s="19">
        <v>5.5</v>
      </c>
      <c r="F197" s="19">
        <v>5.5</v>
      </c>
      <c r="G197" s="38">
        <f t="shared" si="12"/>
        <v>6.27</v>
      </c>
      <c r="H197" s="38">
        <f t="shared" si="13"/>
        <v>6.05</v>
      </c>
      <c r="I197" s="38">
        <f t="shared" si="14"/>
        <v>6.56</v>
      </c>
      <c r="J197" s="38">
        <f t="shared" si="15"/>
        <v>8.25</v>
      </c>
      <c r="K197" s="24" t="s">
        <v>276</v>
      </c>
      <c r="L197" s="6">
        <f>(-H197+G197)/G197</f>
        <v>3.5087719298245577E-2</v>
      </c>
      <c r="M197" s="1"/>
    </row>
    <row r="198" spans="1:13" s="26" customFormat="1" x14ac:dyDescent="0.3">
      <c r="A198" s="11" t="s">
        <v>208</v>
      </c>
      <c r="B198" s="11" t="s">
        <v>208</v>
      </c>
      <c r="C198" s="43" t="s">
        <v>499</v>
      </c>
      <c r="D198" s="37" t="s">
        <v>24</v>
      </c>
      <c r="E198" s="19">
        <v>35</v>
      </c>
      <c r="F198" s="19">
        <v>35</v>
      </c>
      <c r="G198" s="38">
        <f t="shared" si="12"/>
        <v>39.879999999999995</v>
      </c>
      <c r="H198" s="38">
        <f t="shared" si="13"/>
        <v>38.5</v>
      </c>
      <c r="I198" s="38">
        <f t="shared" si="14"/>
        <v>41.69</v>
      </c>
      <c r="J198" s="38">
        <f t="shared" si="15"/>
        <v>52.5</v>
      </c>
      <c r="K198" s="24" t="s">
        <v>276</v>
      </c>
      <c r="L198" s="6">
        <f>(-H198+G198)/G198</f>
        <v>3.46038114343028E-2</v>
      </c>
      <c r="M198" s="1"/>
    </row>
    <row r="199" spans="1:13" s="26" customFormat="1" x14ac:dyDescent="0.3">
      <c r="A199" s="11" t="s">
        <v>209</v>
      </c>
      <c r="B199" s="11" t="s">
        <v>209</v>
      </c>
      <c r="C199" s="16"/>
      <c r="D199" s="37"/>
      <c r="E199" s="19"/>
      <c r="F199" s="19"/>
      <c r="G199" s="38"/>
      <c r="H199" s="38"/>
      <c r="I199" s="38"/>
      <c r="J199" s="38"/>
      <c r="K199" s="24" t="s">
        <v>278</v>
      </c>
      <c r="L199" s="6"/>
    </row>
    <row r="200" spans="1:13" s="26" customFormat="1" x14ac:dyDescent="0.3">
      <c r="A200" s="11" t="s">
        <v>210</v>
      </c>
      <c r="B200" s="11" t="s">
        <v>210</v>
      </c>
      <c r="C200" s="16"/>
      <c r="D200" s="37"/>
      <c r="E200" s="19"/>
      <c r="F200" s="19"/>
      <c r="G200" s="38"/>
      <c r="H200" s="38"/>
      <c r="I200" s="38"/>
      <c r="J200" s="38"/>
      <c r="K200" s="24" t="s">
        <v>278</v>
      </c>
      <c r="L200" s="6"/>
    </row>
    <row r="201" spans="1:13" s="26" customFormat="1" x14ac:dyDescent="0.3">
      <c r="A201" s="11" t="s">
        <v>215</v>
      </c>
      <c r="B201" s="11" t="s">
        <v>215</v>
      </c>
      <c r="C201" s="16"/>
      <c r="D201" s="37"/>
      <c r="E201" s="19"/>
      <c r="F201" s="19"/>
      <c r="G201" s="38"/>
      <c r="H201" s="38"/>
      <c r="I201" s="38"/>
      <c r="J201" s="38"/>
      <c r="K201" s="24" t="s">
        <v>278</v>
      </c>
      <c r="L201" s="6"/>
    </row>
    <row r="202" spans="1:13" s="26" customFormat="1" x14ac:dyDescent="0.3">
      <c r="A202" s="11" t="s">
        <v>216</v>
      </c>
      <c r="B202" s="11" t="s">
        <v>216</v>
      </c>
      <c r="C202" s="16"/>
      <c r="D202" s="37"/>
      <c r="E202" s="19"/>
      <c r="F202" s="19"/>
      <c r="G202" s="38"/>
      <c r="H202" s="38"/>
      <c r="I202" s="38"/>
      <c r="J202" s="38"/>
      <c r="K202" s="24" t="s">
        <v>278</v>
      </c>
      <c r="L202" s="6"/>
    </row>
    <row r="203" spans="1:13" s="26" customFormat="1" x14ac:dyDescent="0.3">
      <c r="A203" s="11" t="s">
        <v>217</v>
      </c>
      <c r="B203" s="11" t="s">
        <v>217</v>
      </c>
      <c r="C203" s="16"/>
      <c r="D203" s="37"/>
      <c r="E203" s="19"/>
      <c r="F203" s="19"/>
      <c r="G203" s="38"/>
      <c r="H203" s="38"/>
      <c r="I203" s="38"/>
      <c r="J203" s="38"/>
      <c r="K203" s="24" t="s">
        <v>278</v>
      </c>
      <c r="L203" s="6"/>
    </row>
    <row r="204" spans="1:13" s="26" customFormat="1" x14ac:dyDescent="0.3">
      <c r="A204" s="11" t="s">
        <v>218</v>
      </c>
      <c r="B204" s="11" t="s">
        <v>218</v>
      </c>
      <c r="C204" s="16"/>
      <c r="D204" s="37"/>
      <c r="E204" s="19"/>
      <c r="F204" s="19"/>
      <c r="G204" s="38"/>
      <c r="H204" s="38"/>
      <c r="I204" s="38"/>
      <c r="J204" s="38"/>
      <c r="K204" s="24" t="s">
        <v>278</v>
      </c>
      <c r="L204" s="6"/>
    </row>
    <row r="205" spans="1:13" s="26" customFormat="1" x14ac:dyDescent="0.3">
      <c r="A205" s="11" t="s">
        <v>219</v>
      </c>
      <c r="B205" s="11" t="s">
        <v>219</v>
      </c>
      <c r="C205" s="16"/>
      <c r="D205" s="37"/>
      <c r="E205" s="19"/>
      <c r="F205" s="19"/>
      <c r="G205" s="38"/>
      <c r="H205" s="38"/>
      <c r="I205" s="38"/>
      <c r="J205" s="38"/>
      <c r="K205" s="24" t="s">
        <v>278</v>
      </c>
      <c r="L205" s="6"/>
    </row>
    <row r="206" spans="1:13" s="26" customFormat="1" x14ac:dyDescent="0.3">
      <c r="A206" s="11" t="s">
        <v>220</v>
      </c>
      <c r="B206" s="11" t="s">
        <v>220</v>
      </c>
      <c r="C206" s="16"/>
      <c r="D206" s="37"/>
      <c r="E206" s="19"/>
      <c r="F206" s="19"/>
      <c r="G206" s="38"/>
      <c r="H206" s="38"/>
      <c r="I206" s="38"/>
      <c r="J206" s="38"/>
      <c r="K206" s="24" t="s">
        <v>278</v>
      </c>
      <c r="L206" s="6"/>
    </row>
    <row r="207" spans="1:13" s="26" customFormat="1" x14ac:dyDescent="0.3">
      <c r="A207" s="11" t="s">
        <v>221</v>
      </c>
      <c r="B207" s="11" t="s">
        <v>221</v>
      </c>
      <c r="C207" s="16"/>
      <c r="D207" s="37"/>
      <c r="E207" s="19"/>
      <c r="F207" s="19"/>
      <c r="G207" s="38"/>
      <c r="H207" s="38"/>
      <c r="I207" s="38"/>
      <c r="J207" s="38"/>
      <c r="K207" s="24" t="s">
        <v>278</v>
      </c>
      <c r="L207" s="6"/>
    </row>
    <row r="208" spans="1:13" s="26" customFormat="1" x14ac:dyDescent="0.3">
      <c r="A208" s="11" t="s">
        <v>222</v>
      </c>
      <c r="B208" s="11" t="s">
        <v>222</v>
      </c>
      <c r="C208" s="16"/>
      <c r="D208" s="37"/>
      <c r="E208" s="19"/>
      <c r="F208" s="19"/>
      <c r="G208" s="38"/>
      <c r="H208" s="38"/>
      <c r="I208" s="38"/>
      <c r="J208" s="38"/>
      <c r="K208" s="24" t="s">
        <v>278</v>
      </c>
      <c r="L208" s="6"/>
    </row>
  </sheetData>
  <mergeCells count="1">
    <mergeCell ref="E3:F3"/>
  </mergeCells>
  <phoneticPr fontId="9" type="noConversion"/>
  <pageMargins left="0.75" right="0.75" top="0.21" bottom="0.34" header="0" footer="0"/>
  <pageSetup scale="60" orientation="portrait" horizontalDpi="180" verticalDpi="144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27A15-8A4A-4F04-BA70-E856218233D7}">
  <dimension ref="A1:N208"/>
  <sheetViews>
    <sheetView tabSelected="1" topLeftCell="C2" zoomScale="61" zoomScaleNormal="70" workbookViewId="0">
      <selection activeCell="M8" sqref="M8"/>
    </sheetView>
  </sheetViews>
  <sheetFormatPr baseColWidth="10" defaultRowHeight="15.6" x14ac:dyDescent="0.3"/>
  <cols>
    <col min="1" max="2" width="9.6640625" bestFit="1" customWidth="1"/>
    <col min="3" max="3" width="57.6640625" style="27" customWidth="1"/>
    <col min="4" max="4" width="8.6640625" style="28" bestFit="1" customWidth="1"/>
    <col min="5" max="6" width="11.5546875" style="20" bestFit="1" customWidth="1"/>
    <col min="7" max="10" width="11.77734375" style="27" bestFit="1" customWidth="1"/>
    <col min="11" max="11" width="78.6640625" style="29" customWidth="1"/>
    <col min="12" max="12" width="12.109375" style="6" bestFit="1" customWidth="1"/>
    <col min="13" max="13" width="11.44140625" customWidth="1"/>
    <col min="17" max="17" width="16.88671875" bestFit="1" customWidth="1"/>
  </cols>
  <sheetData>
    <row r="1" spans="1:14" s="1" customFormat="1" ht="18" x14ac:dyDescent="0.35">
      <c r="C1" s="2" t="s">
        <v>0</v>
      </c>
      <c r="D1" s="3"/>
      <c r="G1" s="4"/>
      <c r="H1" s="4"/>
      <c r="I1" s="4"/>
      <c r="J1" s="4"/>
      <c r="K1" s="5"/>
      <c r="L1" s="6"/>
    </row>
    <row r="2" spans="1:14" s="1" customFormat="1" ht="18" x14ac:dyDescent="0.3">
      <c r="A2" s="57">
        <v>0</v>
      </c>
      <c r="B2" s="57">
        <v>1</v>
      </c>
      <c r="C2" s="58">
        <v>2</v>
      </c>
      <c r="D2" s="57">
        <v>3</v>
      </c>
      <c r="E2" s="57">
        <v>4</v>
      </c>
      <c r="F2" s="57">
        <v>5</v>
      </c>
      <c r="G2" s="57">
        <v>6</v>
      </c>
      <c r="H2" s="57">
        <v>7</v>
      </c>
      <c r="I2" s="57">
        <v>8</v>
      </c>
      <c r="J2" s="57">
        <v>9</v>
      </c>
      <c r="K2" s="57">
        <v>10</v>
      </c>
      <c r="L2" s="6"/>
    </row>
    <row r="3" spans="1:14" s="1" customFormat="1" x14ac:dyDescent="0.3">
      <c r="A3" s="47" t="s">
        <v>1</v>
      </c>
      <c r="B3" s="47" t="s">
        <v>1</v>
      </c>
      <c r="C3" s="47" t="s">
        <v>2</v>
      </c>
      <c r="D3" s="48" t="s">
        <v>3</v>
      </c>
      <c r="E3" s="49" t="s">
        <v>4</v>
      </c>
      <c r="F3" s="49"/>
      <c r="G3" s="48" t="s">
        <v>501</v>
      </c>
      <c r="H3" s="48" t="s">
        <v>501</v>
      </c>
      <c r="I3" s="48" t="s">
        <v>502</v>
      </c>
      <c r="J3" s="48" t="s">
        <v>502</v>
      </c>
      <c r="K3" s="54" t="s">
        <v>326</v>
      </c>
      <c r="L3" s="6"/>
    </row>
    <row r="4" spans="1:14" s="1" customFormat="1" x14ac:dyDescent="0.3">
      <c r="A4" s="50"/>
      <c r="B4" s="50" t="s">
        <v>325</v>
      </c>
      <c r="C4" s="50"/>
      <c r="D4" s="51"/>
      <c r="E4" s="50" t="s">
        <v>6</v>
      </c>
      <c r="F4" s="50" t="s">
        <v>324</v>
      </c>
      <c r="G4" s="51" t="s">
        <v>5</v>
      </c>
      <c r="H4" s="50" t="s">
        <v>212</v>
      </c>
      <c r="I4" s="51" t="s">
        <v>5</v>
      </c>
      <c r="J4" s="50" t="s">
        <v>212</v>
      </c>
      <c r="K4" s="55"/>
      <c r="L4" s="6"/>
    </row>
    <row r="5" spans="1:14" s="1" customFormat="1" x14ac:dyDescent="0.3">
      <c r="A5" s="52"/>
      <c r="B5" s="52"/>
      <c r="C5" s="52"/>
      <c r="D5" s="53"/>
      <c r="E5" s="52" t="s">
        <v>7</v>
      </c>
      <c r="F5" s="52" t="s">
        <v>7</v>
      </c>
      <c r="G5" s="53" t="s">
        <v>7</v>
      </c>
      <c r="H5" s="52" t="s">
        <v>7</v>
      </c>
      <c r="I5" s="53" t="s">
        <v>7</v>
      </c>
      <c r="J5" s="52" t="s">
        <v>7</v>
      </c>
      <c r="K5" s="56"/>
      <c r="L5" s="6"/>
    </row>
    <row r="6" spans="1:14" s="1" customFormat="1" x14ac:dyDescent="0.3">
      <c r="A6" s="32"/>
      <c r="B6" s="33"/>
      <c r="C6" s="34" t="s">
        <v>8</v>
      </c>
      <c r="D6" s="8"/>
      <c r="E6" s="9"/>
      <c r="F6" s="8"/>
      <c r="G6" s="7"/>
      <c r="H6" s="7"/>
      <c r="I6" s="7"/>
      <c r="J6" s="7"/>
      <c r="K6" s="31"/>
      <c r="L6" s="6"/>
      <c r="M6" s="30" t="s">
        <v>223</v>
      </c>
    </row>
    <row r="7" spans="1:14" s="1" customFormat="1" x14ac:dyDescent="0.3">
      <c r="A7" s="11" t="s">
        <v>9</v>
      </c>
      <c r="B7" s="11" t="s">
        <v>9</v>
      </c>
      <c r="C7" s="12" t="s">
        <v>327</v>
      </c>
      <c r="D7" s="35" t="s">
        <v>10</v>
      </c>
      <c r="E7" s="60" t="s">
        <v>503</v>
      </c>
      <c r="F7" s="60" t="s">
        <v>503</v>
      </c>
      <c r="G7" s="61" t="s">
        <v>504</v>
      </c>
      <c r="H7" s="61" t="s">
        <v>505</v>
      </c>
      <c r="I7" s="61" t="s">
        <v>506</v>
      </c>
      <c r="J7" s="61" t="s">
        <v>507</v>
      </c>
      <c r="K7" s="14" t="s">
        <v>224</v>
      </c>
      <c r="L7" s="15" t="e">
        <f>(-H7+G7)/G7</f>
        <v>#VALUE!</v>
      </c>
      <c r="M7" s="18" t="str">
        <f>CONCATENATE("['",A7,"', '",B7,"', '",C7,"', '",D7,"', ",E7,", ",F7,", ",G7,", ",H7,", ",I7,", ",J7,", '",K7,"']")</f>
        <v>['M1', 'M1', 'SILICONA TRANSPARENTE, BLANCA O NEGRA', 'Tubo', 2.9, 2.9, 3.31, 3.19, 3.46, 4.35, 'MAROL 20 Bs. -   -   - ']</v>
      </c>
      <c r="N7" s="18"/>
    </row>
    <row r="8" spans="1:14" s="1" customFormat="1" x14ac:dyDescent="0.3">
      <c r="A8" s="11" t="s">
        <v>11</v>
      </c>
      <c r="B8" s="11" t="s">
        <v>11</v>
      </c>
      <c r="C8" s="12" t="s">
        <v>328</v>
      </c>
      <c r="D8" s="35" t="s">
        <v>10</v>
      </c>
      <c r="E8" s="60" t="s">
        <v>508</v>
      </c>
      <c r="F8" s="60">
        <v>6</v>
      </c>
      <c r="G8" s="61" t="s">
        <v>509</v>
      </c>
      <c r="H8" s="61" t="s">
        <v>510</v>
      </c>
      <c r="I8" s="61" t="s">
        <v>511</v>
      </c>
      <c r="J8" s="61" t="s">
        <v>512</v>
      </c>
      <c r="K8" s="14" t="s">
        <v>224</v>
      </c>
      <c r="L8" s="15" t="e">
        <f>(-H8+G8)/G8</f>
        <v>#VALUE!</v>
      </c>
      <c r="M8" s="59"/>
      <c r="N8" s="18"/>
    </row>
    <row r="9" spans="1:14" s="1" customFormat="1" x14ac:dyDescent="0.3">
      <c r="A9" s="11" t="s">
        <v>12</v>
      </c>
      <c r="B9" s="11" t="s">
        <v>12</v>
      </c>
      <c r="C9" s="16" t="s">
        <v>329</v>
      </c>
      <c r="D9" s="37" t="s">
        <v>13</v>
      </c>
      <c r="E9" s="62" t="s">
        <v>513</v>
      </c>
      <c r="F9" s="62" t="s">
        <v>513</v>
      </c>
      <c r="G9" s="63" t="s">
        <v>514</v>
      </c>
      <c r="H9" s="63" t="s">
        <v>515</v>
      </c>
      <c r="I9" s="63" t="s">
        <v>516</v>
      </c>
      <c r="J9" s="63" t="s">
        <v>517</v>
      </c>
      <c r="K9" s="17" t="s">
        <v>225</v>
      </c>
      <c r="L9" s="6" t="e">
        <f>(-H9+G9)/G9</f>
        <v>#VALUE!</v>
      </c>
      <c r="M9" s="18"/>
      <c r="N9" s="18"/>
    </row>
    <row r="10" spans="1:14" s="1" customFormat="1" x14ac:dyDescent="0.3">
      <c r="A10" s="11" t="s">
        <v>14</v>
      </c>
      <c r="B10" s="11" t="s">
        <v>14</v>
      </c>
      <c r="C10" s="12" t="s">
        <v>330</v>
      </c>
      <c r="D10" s="35" t="s">
        <v>15</v>
      </c>
      <c r="E10" s="60" t="s">
        <v>1062</v>
      </c>
      <c r="F10" s="60" t="s">
        <v>1062</v>
      </c>
      <c r="G10" s="61" t="s">
        <v>518</v>
      </c>
      <c r="H10" s="61" t="s">
        <v>519</v>
      </c>
      <c r="I10" s="61" t="s">
        <v>520</v>
      </c>
      <c r="J10" s="61" t="s">
        <v>521</v>
      </c>
      <c r="K10" s="14" t="s">
        <v>226</v>
      </c>
      <c r="L10" s="15" t="e">
        <f>(-H10+G10)/G10</f>
        <v>#VALUE!</v>
      </c>
      <c r="M10" s="18"/>
      <c r="N10" s="18"/>
    </row>
    <row r="11" spans="1:14" s="1" customFormat="1" x14ac:dyDescent="0.3">
      <c r="A11" s="11" t="s">
        <v>16</v>
      </c>
      <c r="B11" s="11" t="s">
        <v>16</v>
      </c>
      <c r="C11" s="12" t="s">
        <v>331</v>
      </c>
      <c r="D11" s="35" t="s">
        <v>15</v>
      </c>
      <c r="E11" s="60" t="s">
        <v>977</v>
      </c>
      <c r="F11" s="60" t="s">
        <v>977</v>
      </c>
      <c r="G11" s="61" t="s">
        <v>522</v>
      </c>
      <c r="H11" s="61" t="s">
        <v>523</v>
      </c>
      <c r="I11" s="61" t="s">
        <v>524</v>
      </c>
      <c r="J11" s="61" t="s">
        <v>525</v>
      </c>
      <c r="K11" s="14" t="s">
        <v>227</v>
      </c>
      <c r="L11" s="15" t="e">
        <f>(-H11+G11)/G11</f>
        <v>#VALUE!</v>
      </c>
      <c r="M11" s="18"/>
      <c r="N11" s="18"/>
    </row>
    <row r="12" spans="1:14" s="1" customFormat="1" x14ac:dyDescent="0.3">
      <c r="A12" s="11" t="s">
        <v>17</v>
      </c>
      <c r="B12" s="11" t="s">
        <v>17</v>
      </c>
      <c r="C12" s="16" t="s">
        <v>332</v>
      </c>
      <c r="D12" s="37" t="s">
        <v>15</v>
      </c>
      <c r="E12" s="62" t="s">
        <v>1063</v>
      </c>
      <c r="F12" s="62" t="s">
        <v>1064</v>
      </c>
      <c r="G12" s="63" t="s">
        <v>526</v>
      </c>
      <c r="H12" s="63" t="s">
        <v>527</v>
      </c>
      <c r="I12" s="63" t="s">
        <v>528</v>
      </c>
      <c r="J12" s="63" t="s">
        <v>529</v>
      </c>
      <c r="K12" s="14" t="s">
        <v>228</v>
      </c>
      <c r="L12" s="6" t="e">
        <f>(-H12+G12)/G12</f>
        <v>#VALUE!</v>
      </c>
      <c r="M12" s="18"/>
      <c r="N12" s="18"/>
    </row>
    <row r="13" spans="1:14" s="1" customFormat="1" x14ac:dyDescent="0.3">
      <c r="A13" s="11" t="s">
        <v>18</v>
      </c>
      <c r="B13" s="11" t="s">
        <v>18</v>
      </c>
      <c r="C13" s="16" t="s">
        <v>333</v>
      </c>
      <c r="D13" s="37" t="s">
        <v>15</v>
      </c>
      <c r="E13" s="62" t="s">
        <v>1065</v>
      </c>
      <c r="F13" s="62" t="s">
        <v>1051</v>
      </c>
      <c r="G13" s="63" t="s">
        <v>530</v>
      </c>
      <c r="H13" s="63" t="s">
        <v>531</v>
      </c>
      <c r="I13" s="63" t="s">
        <v>532</v>
      </c>
      <c r="J13" s="63" t="s">
        <v>533</v>
      </c>
      <c r="K13" s="14" t="s">
        <v>229</v>
      </c>
      <c r="L13" s="6" t="e">
        <f>(-H13+G13)/G13</f>
        <v>#VALUE!</v>
      </c>
      <c r="M13" s="18"/>
      <c r="N13" s="18"/>
    </row>
    <row r="14" spans="1:14" s="1" customFormat="1" x14ac:dyDescent="0.3">
      <c r="A14" s="11" t="s">
        <v>19</v>
      </c>
      <c r="B14" s="11" t="s">
        <v>19</v>
      </c>
      <c r="C14" s="12" t="s">
        <v>334</v>
      </c>
      <c r="D14" s="35" t="s">
        <v>15</v>
      </c>
      <c r="E14" s="60" t="s">
        <v>1066</v>
      </c>
      <c r="F14" s="60" t="s">
        <v>1066</v>
      </c>
      <c r="G14" s="61" t="s">
        <v>534</v>
      </c>
      <c r="H14" s="61" t="s">
        <v>532</v>
      </c>
      <c r="I14" s="61" t="s">
        <v>508</v>
      </c>
      <c r="J14" s="61" t="s">
        <v>535</v>
      </c>
      <c r="K14" s="14" t="s">
        <v>230</v>
      </c>
      <c r="L14" s="15" t="e">
        <f>(-H14+G14)/G14</f>
        <v>#VALUE!</v>
      </c>
      <c r="M14" s="18"/>
      <c r="N14" s="18"/>
    </row>
    <row r="15" spans="1:14" s="1" customFormat="1" x14ac:dyDescent="0.3">
      <c r="A15" s="11" t="s">
        <v>20</v>
      </c>
      <c r="B15" s="11" t="s">
        <v>20</v>
      </c>
      <c r="C15" s="12" t="s">
        <v>335</v>
      </c>
      <c r="D15" s="35" t="s">
        <v>15</v>
      </c>
      <c r="E15" s="60" t="s">
        <v>673</v>
      </c>
      <c r="F15" s="60" t="s">
        <v>673</v>
      </c>
      <c r="G15" s="61" t="s">
        <v>536</v>
      </c>
      <c r="H15" s="61" t="s">
        <v>537</v>
      </c>
      <c r="I15" s="61" t="s">
        <v>538</v>
      </c>
      <c r="J15" s="61" t="s">
        <v>539</v>
      </c>
      <c r="K15" s="14" t="s">
        <v>231</v>
      </c>
      <c r="L15" s="15" t="e">
        <f>(-H15+G15)/G15</f>
        <v>#VALUE!</v>
      </c>
      <c r="M15" s="18"/>
      <c r="N15" s="18"/>
    </row>
    <row r="16" spans="1:14" s="1" customFormat="1" x14ac:dyDescent="0.3">
      <c r="A16" s="11" t="s">
        <v>21</v>
      </c>
      <c r="B16" s="11" t="s">
        <v>21</v>
      </c>
      <c r="C16" s="12" t="s">
        <v>336</v>
      </c>
      <c r="D16" s="35" t="s">
        <v>15</v>
      </c>
      <c r="E16" s="60" t="s">
        <v>1067</v>
      </c>
      <c r="F16" s="60" t="s">
        <v>1067</v>
      </c>
      <c r="G16" s="61" t="s">
        <v>540</v>
      </c>
      <c r="H16" s="61" t="s">
        <v>541</v>
      </c>
      <c r="I16" s="61" t="s">
        <v>542</v>
      </c>
      <c r="J16" s="61" t="s">
        <v>543</v>
      </c>
      <c r="K16" s="14" t="s">
        <v>232</v>
      </c>
      <c r="L16" s="15" t="e">
        <f>(-H16+G16)/G16</f>
        <v>#VALUE!</v>
      </c>
      <c r="M16" s="18"/>
      <c r="N16" s="18"/>
    </row>
    <row r="17" spans="1:14" s="1" customFormat="1" x14ac:dyDescent="0.3">
      <c r="A17" s="11" t="s">
        <v>22</v>
      </c>
      <c r="B17" s="11" t="s">
        <v>22</v>
      </c>
      <c r="C17" s="16" t="s">
        <v>337</v>
      </c>
      <c r="D17" s="37" t="s">
        <v>15</v>
      </c>
      <c r="E17" s="62" t="s">
        <v>544</v>
      </c>
      <c r="F17" s="62" t="s">
        <v>544</v>
      </c>
      <c r="G17" s="63" t="s">
        <v>545</v>
      </c>
      <c r="H17" s="63" t="s">
        <v>546</v>
      </c>
      <c r="I17" s="63" t="s">
        <v>545</v>
      </c>
      <c r="J17" s="63" t="s">
        <v>547</v>
      </c>
      <c r="K17" s="17" t="s">
        <v>233</v>
      </c>
      <c r="L17" s="6" t="e">
        <f>(-H17+G17)/G17</f>
        <v>#VALUE!</v>
      </c>
      <c r="M17" s="18"/>
      <c r="N17" s="18"/>
    </row>
    <row r="18" spans="1:14" s="1" customFormat="1" x14ac:dyDescent="0.3">
      <c r="A18" s="11" t="s">
        <v>23</v>
      </c>
      <c r="B18" s="11" t="s">
        <v>23</v>
      </c>
      <c r="C18" s="16" t="s">
        <v>338</v>
      </c>
      <c r="D18" s="37" t="s">
        <v>24</v>
      </c>
      <c r="E18" s="62" t="s">
        <v>548</v>
      </c>
      <c r="F18" s="62" t="s">
        <v>548</v>
      </c>
      <c r="G18" s="63" t="s">
        <v>549</v>
      </c>
      <c r="H18" s="63" t="s">
        <v>549</v>
      </c>
      <c r="I18" s="63" t="s">
        <v>549</v>
      </c>
      <c r="J18" s="63" t="s">
        <v>550</v>
      </c>
      <c r="K18" s="17" t="s">
        <v>234</v>
      </c>
      <c r="L18" s="6" t="e">
        <f>(-H18+G18)/G18</f>
        <v>#VALUE!</v>
      </c>
      <c r="M18" s="18"/>
      <c r="N18" s="18"/>
    </row>
    <row r="19" spans="1:14" s="1" customFormat="1" x14ac:dyDescent="0.3">
      <c r="A19" s="11" t="s">
        <v>25</v>
      </c>
      <c r="B19" s="11" t="s">
        <v>25</v>
      </c>
      <c r="C19" s="16" t="s">
        <v>339</v>
      </c>
      <c r="D19" s="37" t="s">
        <v>24</v>
      </c>
      <c r="E19" s="62" t="s">
        <v>548</v>
      </c>
      <c r="F19" s="62" t="s">
        <v>548</v>
      </c>
      <c r="G19" s="63" t="s">
        <v>549</v>
      </c>
      <c r="H19" s="63" t="s">
        <v>549</v>
      </c>
      <c r="I19" s="63" t="s">
        <v>549</v>
      </c>
      <c r="J19" s="63" t="s">
        <v>550</v>
      </c>
      <c r="K19" s="17" t="s">
        <v>234</v>
      </c>
      <c r="L19" s="6" t="e">
        <f>(-H19+G19)/G19</f>
        <v>#VALUE!</v>
      </c>
      <c r="M19" s="18"/>
      <c r="N19" s="18"/>
    </row>
    <row r="20" spans="1:14" s="1" customFormat="1" x14ac:dyDescent="0.3">
      <c r="A20" s="11" t="s">
        <v>26</v>
      </c>
      <c r="B20" s="11" t="s">
        <v>26</v>
      </c>
      <c r="C20" s="16" t="s">
        <v>340</v>
      </c>
      <c r="D20" s="37" t="s">
        <v>24</v>
      </c>
      <c r="E20" s="62" t="s">
        <v>548</v>
      </c>
      <c r="F20" s="62" t="s">
        <v>548</v>
      </c>
      <c r="G20" s="63" t="s">
        <v>549</v>
      </c>
      <c r="H20" s="63" t="s">
        <v>549</v>
      </c>
      <c r="I20" s="63" t="s">
        <v>549</v>
      </c>
      <c r="J20" s="63" t="s">
        <v>550</v>
      </c>
      <c r="K20" s="17" t="s">
        <v>234</v>
      </c>
      <c r="L20" s="6" t="e">
        <f>(-H20+G20)/G20</f>
        <v>#VALUE!</v>
      </c>
      <c r="M20" s="18"/>
      <c r="N20" s="18"/>
    </row>
    <row r="21" spans="1:14" s="1" customFormat="1" x14ac:dyDescent="0.3">
      <c r="A21" s="11" t="s">
        <v>27</v>
      </c>
      <c r="B21" s="11" t="s">
        <v>27</v>
      </c>
      <c r="C21" s="16" t="s">
        <v>341</v>
      </c>
      <c r="D21" s="37" t="s">
        <v>24</v>
      </c>
      <c r="E21" s="62" t="s">
        <v>551</v>
      </c>
      <c r="F21" s="62" t="s">
        <v>551</v>
      </c>
      <c r="G21" s="63" t="s">
        <v>548</v>
      </c>
      <c r="H21" s="63" t="s">
        <v>548</v>
      </c>
      <c r="I21" s="63" t="s">
        <v>548</v>
      </c>
      <c r="J21" s="63" t="s">
        <v>548</v>
      </c>
      <c r="K21" s="17" t="s">
        <v>234</v>
      </c>
      <c r="L21" s="6" t="e">
        <f>(-H21+G21)/G21</f>
        <v>#VALUE!</v>
      </c>
      <c r="M21" s="18"/>
      <c r="N21" s="18"/>
    </row>
    <row r="22" spans="1:14" s="1" customFormat="1" x14ac:dyDescent="0.3">
      <c r="A22" s="11" t="s">
        <v>28</v>
      </c>
      <c r="B22" s="11" t="s">
        <v>28</v>
      </c>
      <c r="C22" s="16" t="s">
        <v>342</v>
      </c>
      <c r="D22" s="37" t="s">
        <v>15</v>
      </c>
      <c r="E22" s="62" t="s">
        <v>552</v>
      </c>
      <c r="F22" s="62" t="s">
        <v>553</v>
      </c>
      <c r="G22" s="63" t="s">
        <v>554</v>
      </c>
      <c r="H22" s="63" t="s">
        <v>555</v>
      </c>
      <c r="I22" s="63" t="s">
        <v>556</v>
      </c>
      <c r="J22" s="63" t="s">
        <v>557</v>
      </c>
      <c r="K22" s="14" t="s">
        <v>235</v>
      </c>
      <c r="L22" s="6" t="e">
        <f>(-H22+G22)/G22</f>
        <v>#VALUE!</v>
      </c>
      <c r="M22" s="18"/>
      <c r="N22" s="18"/>
    </row>
    <row r="23" spans="1:14" s="1" customFormat="1" x14ac:dyDescent="0.3">
      <c r="A23" s="11" t="s">
        <v>29</v>
      </c>
      <c r="B23" s="11" t="s">
        <v>29</v>
      </c>
      <c r="C23" s="16"/>
      <c r="D23" s="37"/>
      <c r="E23" s="62"/>
      <c r="F23" s="62"/>
      <c r="G23" s="63"/>
      <c r="H23" s="63"/>
      <c r="I23" s="63"/>
      <c r="J23" s="63"/>
      <c r="K23" s="17"/>
      <c r="L23" s="6"/>
    </row>
    <row r="24" spans="1:14" s="1" customFormat="1" x14ac:dyDescent="0.3">
      <c r="A24" s="11" t="s">
        <v>30</v>
      </c>
      <c r="B24" s="11" t="s">
        <v>30</v>
      </c>
      <c r="C24" s="16"/>
      <c r="D24" s="37"/>
      <c r="E24" s="62"/>
      <c r="F24" s="62"/>
      <c r="G24" s="63"/>
      <c r="H24" s="63"/>
      <c r="I24" s="63"/>
      <c r="J24" s="63"/>
      <c r="K24" s="17"/>
      <c r="L24" s="6"/>
    </row>
    <row r="25" spans="1:14" s="1" customFormat="1" x14ac:dyDescent="0.3">
      <c r="A25" s="11" t="s">
        <v>31</v>
      </c>
      <c r="B25" s="11" t="s">
        <v>31</v>
      </c>
      <c r="C25" s="16"/>
      <c r="D25" s="37"/>
      <c r="E25" s="62"/>
      <c r="F25" s="62"/>
      <c r="G25" s="63"/>
      <c r="H25" s="63"/>
      <c r="I25" s="63"/>
      <c r="J25" s="63"/>
      <c r="K25" s="17"/>
      <c r="L25" s="6"/>
    </row>
    <row r="26" spans="1:14" s="1" customFormat="1" x14ac:dyDescent="0.3">
      <c r="A26" s="11" t="s">
        <v>32</v>
      </c>
      <c r="B26" s="11" t="s">
        <v>32</v>
      </c>
      <c r="C26" s="16"/>
      <c r="D26" s="37"/>
      <c r="E26" s="62"/>
      <c r="F26" s="62"/>
      <c r="G26" s="63"/>
      <c r="H26" s="63"/>
      <c r="I26" s="63"/>
      <c r="J26" s="63"/>
      <c r="K26" s="17"/>
      <c r="L26" s="6"/>
    </row>
    <row r="27" spans="1:14" s="1" customFormat="1" x14ac:dyDescent="0.3">
      <c r="A27" s="11" t="s">
        <v>213</v>
      </c>
      <c r="B27" s="11" t="s">
        <v>213</v>
      </c>
      <c r="C27" s="16"/>
      <c r="D27" s="37"/>
      <c r="E27" s="62"/>
      <c r="F27" s="62"/>
      <c r="G27" s="63"/>
      <c r="H27" s="63"/>
      <c r="I27" s="63"/>
      <c r="J27" s="63"/>
      <c r="K27" s="17"/>
      <c r="L27" s="6"/>
    </row>
    <row r="28" spans="1:14" s="1" customFormat="1" ht="21" x14ac:dyDescent="0.4">
      <c r="A28" s="10"/>
      <c r="B28" s="10"/>
      <c r="C28" s="39" t="s">
        <v>33</v>
      </c>
      <c r="D28" s="7"/>
      <c r="E28" s="64"/>
      <c r="F28" s="64"/>
      <c r="G28" s="63"/>
      <c r="H28" s="63"/>
      <c r="I28" s="63"/>
      <c r="J28" s="63"/>
      <c r="K28" s="41"/>
      <c r="L28" s="6"/>
    </row>
    <row r="29" spans="1:14" s="1" customFormat="1" x14ac:dyDescent="0.3">
      <c r="A29" s="11" t="s">
        <v>34</v>
      </c>
      <c r="B29" s="11" t="s">
        <v>34</v>
      </c>
      <c r="C29" s="12" t="s">
        <v>343</v>
      </c>
      <c r="D29" s="35" t="s">
        <v>35</v>
      </c>
      <c r="E29" s="65" t="s">
        <v>558</v>
      </c>
      <c r="F29" s="65" t="s">
        <v>558</v>
      </c>
      <c r="G29" s="61" t="s">
        <v>559</v>
      </c>
      <c r="H29" s="61" t="s">
        <v>560</v>
      </c>
      <c r="I29" s="61" t="s">
        <v>561</v>
      </c>
      <c r="J29" s="61" t="s">
        <v>562</v>
      </c>
      <c r="K29" s="14" t="s">
        <v>236</v>
      </c>
      <c r="L29" s="15" t="e">
        <f>(-H29+G29)/G29</f>
        <v>#VALUE!</v>
      </c>
      <c r="M29" s="18"/>
      <c r="N29" s="18"/>
    </row>
    <row r="30" spans="1:14" s="1" customFormat="1" x14ac:dyDescent="0.3">
      <c r="A30" s="11" t="s">
        <v>36</v>
      </c>
      <c r="B30" s="11" t="s">
        <v>36</v>
      </c>
      <c r="C30" s="12" t="s">
        <v>344</v>
      </c>
      <c r="D30" s="35" t="s">
        <v>35</v>
      </c>
      <c r="E30" s="65" t="s">
        <v>563</v>
      </c>
      <c r="F30" s="65" t="s">
        <v>563</v>
      </c>
      <c r="G30" s="61" t="s">
        <v>564</v>
      </c>
      <c r="H30" s="61" t="s">
        <v>565</v>
      </c>
      <c r="I30" s="61" t="s">
        <v>566</v>
      </c>
      <c r="J30" s="61" t="s">
        <v>567</v>
      </c>
      <c r="K30" s="14" t="s">
        <v>237</v>
      </c>
      <c r="L30" s="15" t="e">
        <f>(-H30+G30)/G30</f>
        <v>#VALUE!</v>
      </c>
      <c r="M30" s="18"/>
      <c r="N30" s="18"/>
    </row>
    <row r="31" spans="1:14" s="1" customFormat="1" x14ac:dyDescent="0.3">
      <c r="A31" s="11" t="s">
        <v>37</v>
      </c>
      <c r="B31" s="11" t="s">
        <v>37</v>
      </c>
      <c r="C31" s="16" t="s">
        <v>345</v>
      </c>
      <c r="D31" s="37" t="s">
        <v>35</v>
      </c>
      <c r="E31" s="66">
        <v>26</v>
      </c>
      <c r="F31" s="66">
        <v>25</v>
      </c>
      <c r="G31" s="63" t="s">
        <v>568</v>
      </c>
      <c r="H31" s="63" t="s">
        <v>569</v>
      </c>
      <c r="I31" s="63" t="s">
        <v>570</v>
      </c>
      <c r="J31" s="63" t="s">
        <v>571</v>
      </c>
      <c r="K31" s="17" t="s">
        <v>238</v>
      </c>
      <c r="L31" s="6" t="e">
        <f>(-H31+G31)/G31</f>
        <v>#VALUE!</v>
      </c>
      <c r="M31" s="18"/>
      <c r="N31" s="18"/>
    </row>
    <row r="32" spans="1:14" s="1" customFormat="1" x14ac:dyDescent="0.3">
      <c r="A32" s="11" t="s">
        <v>38</v>
      </c>
      <c r="B32" s="11" t="s">
        <v>38</v>
      </c>
      <c r="C32" s="16" t="s">
        <v>346</v>
      </c>
      <c r="D32" s="37" t="s">
        <v>35</v>
      </c>
      <c r="E32" s="66">
        <v>24</v>
      </c>
      <c r="F32" s="66">
        <v>24</v>
      </c>
      <c r="G32" s="63" t="s">
        <v>572</v>
      </c>
      <c r="H32" s="63" t="s">
        <v>573</v>
      </c>
      <c r="I32" s="63" t="s">
        <v>574</v>
      </c>
      <c r="J32" s="63">
        <v>36</v>
      </c>
      <c r="K32" s="17" t="s">
        <v>238</v>
      </c>
      <c r="L32" s="6" t="e">
        <f>(-H32+G32)/G32</f>
        <v>#VALUE!</v>
      </c>
      <c r="M32" s="18"/>
      <c r="N32" s="18"/>
    </row>
    <row r="33" spans="1:14" s="1" customFormat="1" x14ac:dyDescent="0.3">
      <c r="A33" s="11" t="s">
        <v>39</v>
      </c>
      <c r="B33" s="11" t="s">
        <v>39</v>
      </c>
      <c r="C33" s="16" t="s">
        <v>347</v>
      </c>
      <c r="D33" s="37" t="s">
        <v>35</v>
      </c>
      <c r="E33" s="66">
        <v>21</v>
      </c>
      <c r="F33" s="66">
        <v>21</v>
      </c>
      <c r="G33" s="63" t="s">
        <v>575</v>
      </c>
      <c r="H33" s="63" t="s">
        <v>576</v>
      </c>
      <c r="I33" s="63" t="s">
        <v>577</v>
      </c>
      <c r="J33" s="63" t="s">
        <v>558</v>
      </c>
      <c r="K33" s="17" t="s">
        <v>238</v>
      </c>
      <c r="L33" s="6" t="e">
        <f>(-H33+G33)/G33</f>
        <v>#VALUE!</v>
      </c>
      <c r="M33" s="18"/>
      <c r="N33" s="18"/>
    </row>
    <row r="34" spans="1:14" s="1" customFormat="1" x14ac:dyDescent="0.3">
      <c r="A34" s="11" t="s">
        <v>40</v>
      </c>
      <c r="B34" s="11" t="s">
        <v>40</v>
      </c>
      <c r="C34" s="12" t="s">
        <v>348</v>
      </c>
      <c r="D34" s="35" t="s">
        <v>35</v>
      </c>
      <c r="E34" s="65" t="s">
        <v>578</v>
      </c>
      <c r="F34" s="65" t="s">
        <v>578</v>
      </c>
      <c r="G34" s="61" t="s">
        <v>579</v>
      </c>
      <c r="H34" s="61" t="s">
        <v>580</v>
      </c>
      <c r="I34" s="61" t="s">
        <v>581</v>
      </c>
      <c r="J34" s="61" t="s">
        <v>582</v>
      </c>
      <c r="K34" s="14" t="s">
        <v>239</v>
      </c>
      <c r="L34" s="15" t="e">
        <f>(-H34+G34)/G34</f>
        <v>#VALUE!</v>
      </c>
      <c r="M34" s="18"/>
      <c r="N34" s="18"/>
    </row>
    <row r="35" spans="1:14" s="1" customFormat="1" x14ac:dyDescent="0.3">
      <c r="A35" s="11" t="s">
        <v>41</v>
      </c>
      <c r="B35" s="11" t="s">
        <v>41</v>
      </c>
      <c r="C35" s="12" t="s">
        <v>349</v>
      </c>
      <c r="D35" s="35" t="s">
        <v>35</v>
      </c>
      <c r="E35" s="65" t="s">
        <v>583</v>
      </c>
      <c r="F35" s="65" t="s">
        <v>583</v>
      </c>
      <c r="G35" s="61" t="s">
        <v>584</v>
      </c>
      <c r="H35" s="61" t="s">
        <v>585</v>
      </c>
      <c r="I35" s="61" t="s">
        <v>586</v>
      </c>
      <c r="J35" s="61" t="s">
        <v>587</v>
      </c>
      <c r="K35" s="14" t="s">
        <v>240</v>
      </c>
      <c r="L35" s="15" t="e">
        <f>(-H35+G35)/G35</f>
        <v>#VALUE!</v>
      </c>
      <c r="M35" s="18"/>
      <c r="N35" s="18"/>
    </row>
    <row r="36" spans="1:14" s="1" customFormat="1" x14ac:dyDescent="0.3">
      <c r="A36" s="11" t="s">
        <v>42</v>
      </c>
      <c r="B36" s="11" t="s">
        <v>42</v>
      </c>
      <c r="C36" s="16" t="s">
        <v>350</v>
      </c>
      <c r="D36" s="37" t="s">
        <v>35</v>
      </c>
      <c r="E36" s="66">
        <v>42</v>
      </c>
      <c r="F36" s="66">
        <v>40</v>
      </c>
      <c r="G36" s="63" t="s">
        <v>588</v>
      </c>
      <c r="H36" s="63">
        <v>44</v>
      </c>
      <c r="I36" s="63" t="s">
        <v>589</v>
      </c>
      <c r="J36" s="63">
        <v>60</v>
      </c>
      <c r="K36" s="17" t="s">
        <v>238</v>
      </c>
      <c r="L36" s="6" t="e">
        <f>(-H36+G36)/G36</f>
        <v>#VALUE!</v>
      </c>
      <c r="M36" s="18"/>
      <c r="N36" s="18"/>
    </row>
    <row r="37" spans="1:14" s="1" customFormat="1" x14ac:dyDescent="0.3">
      <c r="A37" s="11" t="s">
        <v>43</v>
      </c>
      <c r="B37" s="11" t="s">
        <v>43</v>
      </c>
      <c r="C37" s="16" t="s">
        <v>351</v>
      </c>
      <c r="D37" s="37" t="s">
        <v>35</v>
      </c>
      <c r="E37" s="62">
        <v>40</v>
      </c>
      <c r="F37" s="62">
        <v>38</v>
      </c>
      <c r="G37" s="63" t="s">
        <v>590</v>
      </c>
      <c r="H37" s="63" t="s">
        <v>591</v>
      </c>
      <c r="I37" s="63" t="s">
        <v>592</v>
      </c>
      <c r="J37" s="63">
        <v>57</v>
      </c>
      <c r="K37" s="17" t="s">
        <v>238</v>
      </c>
      <c r="L37" s="6" t="e">
        <f>(-H37+G37)/G37</f>
        <v>#VALUE!</v>
      </c>
      <c r="M37" s="18"/>
      <c r="N37" s="18"/>
    </row>
    <row r="38" spans="1:14" s="1" customFormat="1" x14ac:dyDescent="0.3">
      <c r="A38" s="11" t="s">
        <v>44</v>
      </c>
      <c r="B38" s="11" t="s">
        <v>44</v>
      </c>
      <c r="C38" s="16" t="s">
        <v>352</v>
      </c>
      <c r="D38" s="37" t="s">
        <v>35</v>
      </c>
      <c r="E38" s="62">
        <v>38</v>
      </c>
      <c r="F38" s="62">
        <v>36</v>
      </c>
      <c r="G38" s="63" t="s">
        <v>593</v>
      </c>
      <c r="H38" s="63" t="s">
        <v>594</v>
      </c>
      <c r="I38" s="63" t="s">
        <v>595</v>
      </c>
      <c r="J38" s="63">
        <v>54</v>
      </c>
      <c r="K38" s="17" t="s">
        <v>238</v>
      </c>
      <c r="L38" s="6" t="e">
        <f>(-H38+G38)/G38</f>
        <v>#VALUE!</v>
      </c>
      <c r="M38" s="18"/>
      <c r="N38" s="18"/>
    </row>
    <row r="39" spans="1:14" s="1" customFormat="1" x14ac:dyDescent="0.3">
      <c r="A39" s="11" t="s">
        <v>45</v>
      </c>
      <c r="B39" s="11" t="s">
        <v>45</v>
      </c>
      <c r="C39" s="16" t="s">
        <v>353</v>
      </c>
      <c r="D39" s="37" t="s">
        <v>35</v>
      </c>
      <c r="E39" s="62">
        <v>44</v>
      </c>
      <c r="F39" s="62">
        <v>44</v>
      </c>
      <c r="G39" s="63" t="s">
        <v>596</v>
      </c>
      <c r="H39" s="63" t="s">
        <v>597</v>
      </c>
      <c r="I39" s="63" t="s">
        <v>598</v>
      </c>
      <c r="J39" s="63">
        <v>66</v>
      </c>
      <c r="K39" s="17" t="s">
        <v>238</v>
      </c>
      <c r="L39" s="6" t="e">
        <f>(-H39+G39)/G39</f>
        <v>#VALUE!</v>
      </c>
      <c r="M39" s="18"/>
      <c r="N39" s="18"/>
    </row>
    <row r="40" spans="1:14" s="1" customFormat="1" x14ac:dyDescent="0.3">
      <c r="A40" s="11" t="s">
        <v>46</v>
      </c>
      <c r="B40" s="11" t="s">
        <v>46</v>
      </c>
      <c r="C40" s="16" t="s">
        <v>354</v>
      </c>
      <c r="D40" s="37" t="s">
        <v>35</v>
      </c>
      <c r="E40" s="62">
        <v>46</v>
      </c>
      <c r="F40" s="62">
        <v>46</v>
      </c>
      <c r="G40" s="63" t="s">
        <v>598</v>
      </c>
      <c r="H40" s="63" t="s">
        <v>599</v>
      </c>
      <c r="I40" s="63" t="s">
        <v>600</v>
      </c>
      <c r="J40" s="63">
        <v>69</v>
      </c>
      <c r="K40" s="17" t="s">
        <v>241</v>
      </c>
      <c r="L40" s="6" t="e">
        <f>(-H40+G40)/G40</f>
        <v>#VALUE!</v>
      </c>
      <c r="M40" s="18"/>
      <c r="N40" s="18"/>
    </row>
    <row r="41" spans="1:14" s="1" customFormat="1" ht="27" x14ac:dyDescent="0.3">
      <c r="A41" s="11" t="s">
        <v>47</v>
      </c>
      <c r="B41" s="11" t="s">
        <v>47</v>
      </c>
      <c r="C41" s="12" t="s">
        <v>355</v>
      </c>
      <c r="D41" s="35" t="s">
        <v>15</v>
      </c>
      <c r="E41" s="60" t="s">
        <v>1068</v>
      </c>
      <c r="F41" s="60" t="s">
        <v>1068</v>
      </c>
      <c r="G41" s="61" t="s">
        <v>601</v>
      </c>
      <c r="H41" s="61" t="s">
        <v>602</v>
      </c>
      <c r="I41" s="61" t="s">
        <v>603</v>
      </c>
      <c r="J41" s="61" t="s">
        <v>604</v>
      </c>
      <c r="K41" s="14" t="s">
        <v>242</v>
      </c>
      <c r="L41" s="15" t="e">
        <f>(-H41+G41)/G41</f>
        <v>#VALUE!</v>
      </c>
      <c r="M41" s="18"/>
      <c r="N41" s="18"/>
    </row>
    <row r="42" spans="1:14" s="1" customFormat="1" ht="27" x14ac:dyDescent="0.3">
      <c r="A42" s="11" t="s">
        <v>48</v>
      </c>
      <c r="B42" s="11" t="s">
        <v>48</v>
      </c>
      <c r="C42" s="12" t="s">
        <v>356</v>
      </c>
      <c r="D42" s="35" t="s">
        <v>49</v>
      </c>
      <c r="E42" s="60" t="s">
        <v>1069</v>
      </c>
      <c r="F42" s="60" t="s">
        <v>1069</v>
      </c>
      <c r="G42" s="61" t="s">
        <v>605</v>
      </c>
      <c r="H42" s="61" t="s">
        <v>606</v>
      </c>
      <c r="I42" s="61" t="s">
        <v>607</v>
      </c>
      <c r="J42" s="61" t="s">
        <v>608</v>
      </c>
      <c r="K42" s="14" t="s">
        <v>243</v>
      </c>
      <c r="L42" s="15" t="e">
        <f>(-H42+G42)/G42</f>
        <v>#VALUE!</v>
      </c>
      <c r="M42" s="18"/>
      <c r="N42" s="18"/>
    </row>
    <row r="43" spans="1:14" s="1" customFormat="1" ht="27" x14ac:dyDescent="0.3">
      <c r="A43" s="11" t="s">
        <v>50</v>
      </c>
      <c r="B43" s="11" t="s">
        <v>50</v>
      </c>
      <c r="C43" s="12" t="s">
        <v>357</v>
      </c>
      <c r="D43" s="35" t="s">
        <v>49</v>
      </c>
      <c r="E43" s="60" t="s">
        <v>1070</v>
      </c>
      <c r="F43" s="60" t="s">
        <v>1070</v>
      </c>
      <c r="G43" s="61" t="s">
        <v>609</v>
      </c>
      <c r="H43" s="61" t="s">
        <v>610</v>
      </c>
      <c r="I43" s="61" t="s">
        <v>611</v>
      </c>
      <c r="J43" s="61" t="s">
        <v>612</v>
      </c>
      <c r="K43" s="14" t="s">
        <v>244</v>
      </c>
      <c r="L43" s="15" t="e">
        <f>(-H43+G43)/G43</f>
        <v>#VALUE!</v>
      </c>
      <c r="M43" s="18"/>
      <c r="N43" s="18"/>
    </row>
    <row r="44" spans="1:14" s="1" customFormat="1" x14ac:dyDescent="0.3">
      <c r="A44" s="11" t="s">
        <v>51</v>
      </c>
      <c r="B44" s="11" t="s">
        <v>51</v>
      </c>
      <c r="C44" s="16" t="s">
        <v>358</v>
      </c>
      <c r="D44" s="37" t="s">
        <v>49</v>
      </c>
      <c r="E44" s="62" t="s">
        <v>613</v>
      </c>
      <c r="F44" s="62">
        <v>5</v>
      </c>
      <c r="G44" s="63" t="s">
        <v>614</v>
      </c>
      <c r="H44" s="63" t="s">
        <v>615</v>
      </c>
      <c r="I44" s="63" t="s">
        <v>616</v>
      </c>
      <c r="J44" s="63" t="s">
        <v>617</v>
      </c>
      <c r="K44" s="17" t="s">
        <v>245</v>
      </c>
      <c r="L44" s="6" t="e">
        <f>(-H44+G44)/G44</f>
        <v>#VALUE!</v>
      </c>
      <c r="M44" s="18"/>
      <c r="N44" s="18"/>
    </row>
    <row r="45" spans="1:14" s="1" customFormat="1" x14ac:dyDescent="0.3">
      <c r="A45" s="11" t="s">
        <v>52</v>
      </c>
      <c r="B45" s="11" t="s">
        <v>52</v>
      </c>
      <c r="C45" s="16" t="s">
        <v>359</v>
      </c>
      <c r="D45" s="37" t="s">
        <v>49</v>
      </c>
      <c r="E45" s="62" t="s">
        <v>613</v>
      </c>
      <c r="F45" s="62">
        <v>5</v>
      </c>
      <c r="G45" s="63" t="s">
        <v>614</v>
      </c>
      <c r="H45" s="63" t="s">
        <v>615</v>
      </c>
      <c r="I45" s="63" t="s">
        <v>616</v>
      </c>
      <c r="J45" s="63" t="s">
        <v>617</v>
      </c>
      <c r="K45" s="17" t="s">
        <v>245</v>
      </c>
      <c r="L45" s="6" t="e">
        <f>(-H45+G45)/G45</f>
        <v>#VALUE!</v>
      </c>
      <c r="M45" s="18"/>
      <c r="N45" s="18"/>
    </row>
    <row r="46" spans="1:14" s="1" customFormat="1" x14ac:dyDescent="0.3">
      <c r="A46" s="11" t="s">
        <v>53</v>
      </c>
      <c r="B46" s="11" t="s">
        <v>53</v>
      </c>
      <c r="C46" s="16" t="s">
        <v>360</v>
      </c>
      <c r="D46" s="37" t="s">
        <v>49</v>
      </c>
      <c r="E46" s="62" t="s">
        <v>613</v>
      </c>
      <c r="F46" s="62">
        <v>5</v>
      </c>
      <c r="G46" s="63" t="s">
        <v>614</v>
      </c>
      <c r="H46" s="63" t="s">
        <v>615</v>
      </c>
      <c r="I46" s="63" t="s">
        <v>616</v>
      </c>
      <c r="J46" s="63" t="s">
        <v>617</v>
      </c>
      <c r="K46" s="17" t="s">
        <v>245</v>
      </c>
      <c r="L46" s="6" t="e">
        <f>(-H46+G46)/G46</f>
        <v>#VALUE!</v>
      </c>
      <c r="M46" s="18"/>
      <c r="N46" s="18"/>
    </row>
    <row r="47" spans="1:14" s="1" customFormat="1" x14ac:dyDescent="0.3">
      <c r="A47" s="11" t="s">
        <v>54</v>
      </c>
      <c r="B47" s="11" t="s">
        <v>54</v>
      </c>
      <c r="C47" s="16" t="s">
        <v>361</v>
      </c>
      <c r="D47" s="37" t="s">
        <v>49</v>
      </c>
      <c r="E47" s="62" t="s">
        <v>613</v>
      </c>
      <c r="F47" s="62">
        <v>5</v>
      </c>
      <c r="G47" s="63" t="s">
        <v>614</v>
      </c>
      <c r="H47" s="63" t="s">
        <v>615</v>
      </c>
      <c r="I47" s="63" t="s">
        <v>616</v>
      </c>
      <c r="J47" s="63" t="s">
        <v>617</v>
      </c>
      <c r="K47" s="17" t="s">
        <v>245</v>
      </c>
      <c r="L47" s="6" t="e">
        <f>(-H47+G47)/G47</f>
        <v>#VALUE!</v>
      </c>
      <c r="M47" s="18"/>
      <c r="N47" s="18"/>
    </row>
    <row r="48" spans="1:14" s="1" customFormat="1" x14ac:dyDescent="0.3">
      <c r="A48" s="11" t="s">
        <v>55</v>
      </c>
      <c r="B48" s="11" t="s">
        <v>55</v>
      </c>
      <c r="C48" s="16" t="s">
        <v>362</v>
      </c>
      <c r="D48" s="37" t="s">
        <v>24</v>
      </c>
      <c r="E48" s="62" t="s">
        <v>618</v>
      </c>
      <c r="F48" s="62">
        <v>85</v>
      </c>
      <c r="G48" s="63" t="s">
        <v>619</v>
      </c>
      <c r="H48" s="63" t="s">
        <v>620</v>
      </c>
      <c r="I48" s="63" t="s">
        <v>621</v>
      </c>
      <c r="J48" s="63" t="s">
        <v>622</v>
      </c>
      <c r="K48" s="17" t="s">
        <v>245</v>
      </c>
      <c r="L48" s="6" t="e">
        <f>(-H48+G48)/G48</f>
        <v>#VALUE!</v>
      </c>
      <c r="M48" s="18"/>
      <c r="N48" s="18"/>
    </row>
    <row r="49" spans="1:14" s="1" customFormat="1" x14ac:dyDescent="0.3">
      <c r="A49" s="11" t="s">
        <v>56</v>
      </c>
      <c r="B49" s="11" t="s">
        <v>56</v>
      </c>
      <c r="C49" s="16" t="s">
        <v>363</v>
      </c>
      <c r="D49" s="37" t="s">
        <v>24</v>
      </c>
      <c r="E49" s="62">
        <v>70</v>
      </c>
      <c r="F49" s="62">
        <v>70</v>
      </c>
      <c r="G49" s="63" t="s">
        <v>623</v>
      </c>
      <c r="H49" s="63">
        <v>77</v>
      </c>
      <c r="I49" s="63" t="s">
        <v>624</v>
      </c>
      <c r="J49" s="63">
        <v>105</v>
      </c>
      <c r="K49" s="17" t="s">
        <v>246</v>
      </c>
      <c r="L49" s="6" t="e">
        <f>(-H49+G49)/G49</f>
        <v>#VALUE!</v>
      </c>
      <c r="M49" s="18"/>
      <c r="N49" s="18"/>
    </row>
    <row r="50" spans="1:14" s="1" customFormat="1" x14ac:dyDescent="0.3">
      <c r="A50" s="11" t="s">
        <v>57</v>
      </c>
      <c r="B50" s="11" t="s">
        <v>57</v>
      </c>
      <c r="C50" s="16" t="s">
        <v>364</v>
      </c>
      <c r="D50" s="37" t="s">
        <v>24</v>
      </c>
      <c r="E50" s="62">
        <v>3</v>
      </c>
      <c r="F50" s="62">
        <v>3</v>
      </c>
      <c r="G50" s="63" t="s">
        <v>625</v>
      </c>
      <c r="H50" s="63" t="s">
        <v>626</v>
      </c>
      <c r="I50" s="63" t="s">
        <v>627</v>
      </c>
      <c r="J50" s="63" t="s">
        <v>628</v>
      </c>
      <c r="K50" s="17" t="s">
        <v>238</v>
      </c>
      <c r="L50" s="6" t="e">
        <f>(-H50+G50)/G50</f>
        <v>#VALUE!</v>
      </c>
      <c r="M50" s="18"/>
      <c r="N50" s="18"/>
    </row>
    <row r="51" spans="1:14" s="1" customFormat="1" x14ac:dyDescent="0.3">
      <c r="A51" s="11" t="s">
        <v>58</v>
      </c>
      <c r="B51" s="11" t="s">
        <v>58</v>
      </c>
      <c r="C51" s="12" t="s">
        <v>365</v>
      </c>
      <c r="D51" s="35" t="s">
        <v>24</v>
      </c>
      <c r="E51" s="60" t="s">
        <v>629</v>
      </c>
      <c r="F51" s="60" t="s">
        <v>629</v>
      </c>
      <c r="G51" s="61" t="s">
        <v>630</v>
      </c>
      <c r="H51" s="61" t="s">
        <v>631</v>
      </c>
      <c r="I51" s="61" t="s">
        <v>632</v>
      </c>
      <c r="J51" s="61" t="s">
        <v>633</v>
      </c>
      <c r="K51" s="14" t="s">
        <v>247</v>
      </c>
      <c r="L51" s="15" t="e">
        <f>(-H51+G51)/G51</f>
        <v>#VALUE!</v>
      </c>
      <c r="M51" s="18"/>
      <c r="N51" s="18"/>
    </row>
    <row r="52" spans="1:14" s="1" customFormat="1" x14ac:dyDescent="0.3">
      <c r="A52" s="11" t="s">
        <v>59</v>
      </c>
      <c r="B52" s="11" t="s">
        <v>59</v>
      </c>
      <c r="C52" s="12" t="s">
        <v>366</v>
      </c>
      <c r="D52" s="35" t="s">
        <v>24</v>
      </c>
      <c r="E52" s="60" t="s">
        <v>634</v>
      </c>
      <c r="F52" s="60" t="s">
        <v>634</v>
      </c>
      <c r="G52" s="61" t="s">
        <v>635</v>
      </c>
      <c r="H52" s="61" t="s">
        <v>636</v>
      </c>
      <c r="I52" s="61" t="s">
        <v>637</v>
      </c>
      <c r="J52" s="61" t="s">
        <v>638</v>
      </c>
      <c r="K52" s="14" t="s">
        <v>248</v>
      </c>
      <c r="L52" s="15" t="e">
        <f>(-H52+G52)/G52</f>
        <v>#VALUE!</v>
      </c>
      <c r="M52" s="18"/>
      <c r="N52" s="18"/>
    </row>
    <row r="53" spans="1:14" s="1" customFormat="1" x14ac:dyDescent="0.3">
      <c r="A53" s="11" t="s">
        <v>60</v>
      </c>
      <c r="B53" s="11" t="s">
        <v>60</v>
      </c>
      <c r="C53" s="12" t="s">
        <v>367</v>
      </c>
      <c r="D53" s="35" t="s">
        <v>24</v>
      </c>
      <c r="E53" s="60" t="s">
        <v>639</v>
      </c>
      <c r="F53" s="60" t="s">
        <v>639</v>
      </c>
      <c r="G53" s="61" t="s">
        <v>640</v>
      </c>
      <c r="H53" s="61" t="s">
        <v>641</v>
      </c>
      <c r="I53" s="61" t="s">
        <v>642</v>
      </c>
      <c r="J53" s="61" t="s">
        <v>643</v>
      </c>
      <c r="K53" s="14" t="s">
        <v>249</v>
      </c>
      <c r="L53" s="15" t="e">
        <f>(-H53+G53)/G53</f>
        <v>#VALUE!</v>
      </c>
      <c r="M53" s="18"/>
      <c r="N53" s="18"/>
    </row>
    <row r="54" spans="1:14" s="1" customFormat="1" x14ac:dyDescent="0.3">
      <c r="A54" s="11" t="s">
        <v>61</v>
      </c>
      <c r="B54" s="11" t="s">
        <v>61</v>
      </c>
      <c r="C54" s="12" t="s">
        <v>368</v>
      </c>
      <c r="D54" s="35" t="s">
        <v>24</v>
      </c>
      <c r="E54" s="60" t="s">
        <v>639</v>
      </c>
      <c r="F54" s="60" t="s">
        <v>639</v>
      </c>
      <c r="G54" s="61" t="s">
        <v>640</v>
      </c>
      <c r="H54" s="61" t="s">
        <v>641</v>
      </c>
      <c r="I54" s="61" t="s">
        <v>642</v>
      </c>
      <c r="J54" s="61" t="s">
        <v>643</v>
      </c>
      <c r="K54" s="14" t="s">
        <v>249</v>
      </c>
      <c r="L54" s="15" t="e">
        <f>(-H54+G54)/G54</f>
        <v>#VALUE!</v>
      </c>
      <c r="M54" s="18"/>
      <c r="N54" s="18"/>
    </row>
    <row r="55" spans="1:14" s="1" customFormat="1" x14ac:dyDescent="0.3">
      <c r="A55" s="11" t="s">
        <v>62</v>
      </c>
      <c r="B55" s="11" t="s">
        <v>62</v>
      </c>
      <c r="C55" s="12" t="s">
        <v>369</v>
      </c>
      <c r="D55" s="35" t="s">
        <v>24</v>
      </c>
      <c r="E55" s="60" t="s">
        <v>644</v>
      </c>
      <c r="F55" s="60" t="s">
        <v>644</v>
      </c>
      <c r="G55" s="61" t="s">
        <v>645</v>
      </c>
      <c r="H55" s="61" t="s">
        <v>646</v>
      </c>
      <c r="I55" s="61" t="s">
        <v>647</v>
      </c>
      <c r="J55" s="61" t="s">
        <v>648</v>
      </c>
      <c r="K55" s="14" t="s">
        <v>250</v>
      </c>
      <c r="L55" s="15" t="e">
        <f>(-H55+G55)/G55</f>
        <v>#VALUE!</v>
      </c>
      <c r="M55" s="18"/>
      <c r="N55" s="18"/>
    </row>
    <row r="56" spans="1:14" s="1" customFormat="1" x14ac:dyDescent="0.3">
      <c r="A56" s="11" t="s">
        <v>63</v>
      </c>
      <c r="B56" s="11" t="s">
        <v>63</v>
      </c>
      <c r="C56" s="12" t="s">
        <v>370</v>
      </c>
      <c r="D56" s="35" t="s">
        <v>24</v>
      </c>
      <c r="E56" s="60" t="s">
        <v>649</v>
      </c>
      <c r="F56" s="60" t="s">
        <v>649</v>
      </c>
      <c r="G56" s="61" t="s">
        <v>650</v>
      </c>
      <c r="H56" s="61" t="s">
        <v>651</v>
      </c>
      <c r="I56" s="61" t="s">
        <v>652</v>
      </c>
      <c r="J56" s="61" t="s">
        <v>653</v>
      </c>
      <c r="K56" s="14" t="s">
        <v>251</v>
      </c>
      <c r="L56" s="15" t="e">
        <f>(-H56+G56)/G56</f>
        <v>#VALUE!</v>
      </c>
      <c r="M56" s="18"/>
      <c r="N56" s="18"/>
    </row>
    <row r="57" spans="1:14" s="1" customFormat="1" x14ac:dyDescent="0.3">
      <c r="A57" s="11" t="s">
        <v>64</v>
      </c>
      <c r="B57" s="11" t="s">
        <v>64</v>
      </c>
      <c r="C57" s="12" t="s">
        <v>371</v>
      </c>
      <c r="D57" s="35" t="s">
        <v>24</v>
      </c>
      <c r="E57" s="60" t="s">
        <v>654</v>
      </c>
      <c r="F57" s="60" t="s">
        <v>654</v>
      </c>
      <c r="G57" s="61" t="s">
        <v>655</v>
      </c>
      <c r="H57" s="61" t="s">
        <v>644</v>
      </c>
      <c r="I57" s="61" t="s">
        <v>656</v>
      </c>
      <c r="J57" s="61" t="s">
        <v>602</v>
      </c>
      <c r="K57" s="14" t="s">
        <v>252</v>
      </c>
      <c r="L57" s="15" t="e">
        <f>(-H57+G57)/G57</f>
        <v>#VALUE!</v>
      </c>
      <c r="M57" s="18"/>
      <c r="N57" s="18"/>
    </row>
    <row r="58" spans="1:14" s="1" customFormat="1" x14ac:dyDescent="0.3">
      <c r="A58" s="11" t="s">
        <v>65</v>
      </c>
      <c r="B58" s="11" t="s">
        <v>65</v>
      </c>
      <c r="C58" s="12" t="s">
        <v>372</v>
      </c>
      <c r="D58" s="35" t="s">
        <v>24</v>
      </c>
      <c r="E58" s="60" t="s">
        <v>654</v>
      </c>
      <c r="F58" s="60" t="s">
        <v>654</v>
      </c>
      <c r="G58" s="61" t="s">
        <v>655</v>
      </c>
      <c r="H58" s="61" t="s">
        <v>644</v>
      </c>
      <c r="I58" s="61" t="s">
        <v>656</v>
      </c>
      <c r="J58" s="61" t="s">
        <v>602</v>
      </c>
      <c r="K58" s="14" t="s">
        <v>252</v>
      </c>
      <c r="L58" s="15" t="e">
        <f>(-H58+G58)/G58</f>
        <v>#VALUE!</v>
      </c>
      <c r="M58" s="18"/>
      <c r="N58" s="18"/>
    </row>
    <row r="59" spans="1:14" s="1" customFormat="1" x14ac:dyDescent="0.3">
      <c r="A59" s="11" t="s">
        <v>66</v>
      </c>
      <c r="B59" s="11" t="s">
        <v>66</v>
      </c>
      <c r="C59" s="12" t="s">
        <v>373</v>
      </c>
      <c r="D59" s="35" t="s">
        <v>24</v>
      </c>
      <c r="E59" s="60" t="s">
        <v>657</v>
      </c>
      <c r="F59" s="60" t="s">
        <v>657</v>
      </c>
      <c r="G59" s="61" t="s">
        <v>658</v>
      </c>
      <c r="H59" s="61" t="s">
        <v>659</v>
      </c>
      <c r="I59" s="61" t="s">
        <v>553</v>
      </c>
      <c r="J59" s="61" t="s">
        <v>660</v>
      </c>
      <c r="K59" s="14" t="s">
        <v>253</v>
      </c>
      <c r="L59" s="15" t="e">
        <f>(-H59+G59)/G59</f>
        <v>#VALUE!</v>
      </c>
      <c r="M59" s="18"/>
      <c r="N59" s="18"/>
    </row>
    <row r="60" spans="1:14" s="1" customFormat="1" x14ac:dyDescent="0.3">
      <c r="A60" s="11" t="s">
        <v>67</v>
      </c>
      <c r="B60" s="11" t="s">
        <v>67</v>
      </c>
      <c r="C60" s="12" t="s">
        <v>374</v>
      </c>
      <c r="D60" s="35" t="s">
        <v>24</v>
      </c>
      <c r="E60" s="60" t="s">
        <v>661</v>
      </c>
      <c r="F60" s="60" t="s">
        <v>661</v>
      </c>
      <c r="G60" s="61" t="s">
        <v>662</v>
      </c>
      <c r="H60" s="61" t="s">
        <v>536</v>
      </c>
      <c r="I60" s="61" t="s">
        <v>507</v>
      </c>
      <c r="J60" s="61" t="s">
        <v>663</v>
      </c>
      <c r="K60" s="14" t="s">
        <v>254</v>
      </c>
      <c r="L60" s="15" t="e">
        <f>(-H60+G60)/G60</f>
        <v>#VALUE!</v>
      </c>
      <c r="M60" s="18"/>
      <c r="N60" s="18"/>
    </row>
    <row r="61" spans="1:14" s="1" customFormat="1" x14ac:dyDescent="0.3">
      <c r="A61" s="11" t="s">
        <v>68</v>
      </c>
      <c r="B61" s="11" t="s">
        <v>68</v>
      </c>
      <c r="C61" s="12" t="s">
        <v>375</v>
      </c>
      <c r="D61" s="35" t="s">
        <v>24</v>
      </c>
      <c r="E61" s="60" t="s">
        <v>664</v>
      </c>
      <c r="F61" s="60" t="s">
        <v>664</v>
      </c>
      <c r="G61" s="61" t="s">
        <v>665</v>
      </c>
      <c r="H61" s="61" t="s">
        <v>666</v>
      </c>
      <c r="I61" s="61" t="s">
        <v>667</v>
      </c>
      <c r="J61" s="61" t="s">
        <v>668</v>
      </c>
      <c r="K61" s="14" t="s">
        <v>255</v>
      </c>
      <c r="L61" s="15" t="e">
        <f>(-H61+G61)/G61</f>
        <v>#VALUE!</v>
      </c>
      <c r="M61" s="18"/>
      <c r="N61" s="18"/>
    </row>
    <row r="62" spans="1:14" s="1" customFormat="1" x14ac:dyDescent="0.3">
      <c r="A62" s="11" t="s">
        <v>69</v>
      </c>
      <c r="B62" s="11" t="s">
        <v>69</v>
      </c>
      <c r="C62" s="12" t="s">
        <v>376</v>
      </c>
      <c r="D62" s="35" t="s">
        <v>24</v>
      </c>
      <c r="E62" s="60" t="s">
        <v>669</v>
      </c>
      <c r="F62" s="60" t="s">
        <v>669</v>
      </c>
      <c r="G62" s="61" t="s">
        <v>670</v>
      </c>
      <c r="H62" s="61" t="s">
        <v>671</v>
      </c>
      <c r="I62" s="61" t="s">
        <v>672</v>
      </c>
      <c r="J62" s="61" t="s">
        <v>673</v>
      </c>
      <c r="K62" s="14" t="s">
        <v>256</v>
      </c>
      <c r="L62" s="15" t="e">
        <f>(-H62+G62)/G62</f>
        <v>#VALUE!</v>
      </c>
      <c r="M62" s="18"/>
      <c r="N62" s="18"/>
    </row>
    <row r="63" spans="1:14" s="1" customFormat="1" x14ac:dyDescent="0.3">
      <c r="A63" s="11" t="s">
        <v>70</v>
      </c>
      <c r="B63" s="11" t="s">
        <v>70</v>
      </c>
      <c r="C63" s="12" t="s">
        <v>377</v>
      </c>
      <c r="D63" s="35" t="s">
        <v>24</v>
      </c>
      <c r="E63" s="60" t="s">
        <v>674</v>
      </c>
      <c r="F63" s="60" t="s">
        <v>674</v>
      </c>
      <c r="G63" s="61" t="s">
        <v>675</v>
      </c>
      <c r="H63" s="61" t="s">
        <v>676</v>
      </c>
      <c r="I63" s="61" t="s">
        <v>677</v>
      </c>
      <c r="J63" s="61" t="s">
        <v>678</v>
      </c>
      <c r="K63" s="14" t="s">
        <v>257</v>
      </c>
      <c r="L63" s="15" t="e">
        <f>(-H63+G63)/G63</f>
        <v>#VALUE!</v>
      </c>
      <c r="M63" s="18"/>
      <c r="N63" s="18"/>
    </row>
    <row r="64" spans="1:14" s="1" customFormat="1" x14ac:dyDescent="0.3">
      <c r="A64" s="11" t="s">
        <v>71</v>
      </c>
      <c r="B64" s="11" t="s">
        <v>71</v>
      </c>
      <c r="C64" s="12" t="s">
        <v>378</v>
      </c>
      <c r="D64" s="35" t="s">
        <v>24</v>
      </c>
      <c r="E64" s="60" t="s">
        <v>526</v>
      </c>
      <c r="F64" s="60" t="s">
        <v>526</v>
      </c>
      <c r="G64" s="61" t="s">
        <v>602</v>
      </c>
      <c r="H64" s="61" t="s">
        <v>679</v>
      </c>
      <c r="I64" s="61" t="s">
        <v>680</v>
      </c>
      <c r="J64" s="61" t="s">
        <v>681</v>
      </c>
      <c r="K64" s="14" t="s">
        <v>258</v>
      </c>
      <c r="L64" s="15" t="e">
        <f>(-H64+G64)/G64</f>
        <v>#VALUE!</v>
      </c>
      <c r="M64" s="18"/>
      <c r="N64" s="18"/>
    </row>
    <row r="65" spans="1:14" s="1" customFormat="1" x14ac:dyDescent="0.3">
      <c r="A65" s="11" t="s">
        <v>72</v>
      </c>
      <c r="B65" s="11" t="s">
        <v>72</v>
      </c>
      <c r="C65" s="12" t="s">
        <v>379</v>
      </c>
      <c r="D65" s="35" t="s">
        <v>24</v>
      </c>
      <c r="E65" s="60" t="s">
        <v>682</v>
      </c>
      <c r="F65" s="60" t="s">
        <v>682</v>
      </c>
      <c r="G65" s="61" t="s">
        <v>683</v>
      </c>
      <c r="H65" s="61" t="s">
        <v>684</v>
      </c>
      <c r="I65" s="61" t="s">
        <v>685</v>
      </c>
      <c r="J65" s="61" t="s">
        <v>686</v>
      </c>
      <c r="K65" s="14" t="s">
        <v>259</v>
      </c>
      <c r="L65" s="15" t="e">
        <f>(-H65+G65)/G65</f>
        <v>#VALUE!</v>
      </c>
      <c r="M65" s="18"/>
      <c r="N65" s="18"/>
    </row>
    <row r="66" spans="1:14" s="1" customFormat="1" x14ac:dyDescent="0.3">
      <c r="A66" s="11" t="s">
        <v>73</v>
      </c>
      <c r="B66" s="11" t="s">
        <v>73</v>
      </c>
      <c r="C66" s="12" t="s">
        <v>380</v>
      </c>
      <c r="D66" s="35" t="s">
        <v>24</v>
      </c>
      <c r="E66" s="60" t="s">
        <v>687</v>
      </c>
      <c r="F66" s="60" t="s">
        <v>687</v>
      </c>
      <c r="G66" s="61" t="s">
        <v>688</v>
      </c>
      <c r="H66" s="61" t="s">
        <v>689</v>
      </c>
      <c r="I66" s="61" t="s">
        <v>690</v>
      </c>
      <c r="J66" s="61" t="s">
        <v>691</v>
      </c>
      <c r="K66" s="14" t="s">
        <v>260</v>
      </c>
      <c r="L66" s="15" t="e">
        <f>(-H66+G66)/G66</f>
        <v>#VALUE!</v>
      </c>
      <c r="M66" s="18"/>
      <c r="N66" s="18"/>
    </row>
    <row r="67" spans="1:14" s="1" customFormat="1" x14ac:dyDescent="0.3">
      <c r="A67" s="11" t="s">
        <v>74</v>
      </c>
      <c r="B67" s="11" t="s">
        <v>74</v>
      </c>
      <c r="C67" s="12" t="s">
        <v>381</v>
      </c>
      <c r="D67" s="35" t="s">
        <v>24</v>
      </c>
      <c r="E67" s="60" t="s">
        <v>661</v>
      </c>
      <c r="F67" s="60" t="s">
        <v>661</v>
      </c>
      <c r="G67" s="61" t="s">
        <v>662</v>
      </c>
      <c r="H67" s="61" t="s">
        <v>536</v>
      </c>
      <c r="I67" s="61" t="s">
        <v>507</v>
      </c>
      <c r="J67" s="61" t="s">
        <v>663</v>
      </c>
      <c r="K67" s="14" t="s">
        <v>254</v>
      </c>
      <c r="L67" s="15" t="e">
        <f>(-H67+G67)/G67</f>
        <v>#VALUE!</v>
      </c>
      <c r="M67" s="18"/>
      <c r="N67" s="18"/>
    </row>
    <row r="68" spans="1:14" s="1" customFormat="1" x14ac:dyDescent="0.3">
      <c r="A68" s="11" t="s">
        <v>75</v>
      </c>
      <c r="B68" s="11" t="s">
        <v>75</v>
      </c>
      <c r="C68" s="12" t="s">
        <v>382</v>
      </c>
      <c r="D68" s="35" t="s">
        <v>24</v>
      </c>
      <c r="E68" s="60" t="s">
        <v>692</v>
      </c>
      <c r="F68" s="60" t="s">
        <v>692</v>
      </c>
      <c r="G68" s="61" t="s">
        <v>693</v>
      </c>
      <c r="H68" s="61" t="s">
        <v>694</v>
      </c>
      <c r="I68" s="61" t="s">
        <v>695</v>
      </c>
      <c r="J68" s="61" t="s">
        <v>527</v>
      </c>
      <c r="K68" s="14" t="s">
        <v>261</v>
      </c>
      <c r="L68" s="15" t="e">
        <f>(-H68+G68)/G68</f>
        <v>#VALUE!</v>
      </c>
      <c r="M68" s="18"/>
      <c r="N68" s="18"/>
    </row>
    <row r="69" spans="1:14" s="1" customFormat="1" x14ac:dyDescent="0.3">
      <c r="A69" s="11" t="s">
        <v>76</v>
      </c>
      <c r="B69" s="11" t="s">
        <v>76</v>
      </c>
      <c r="C69" s="12" t="s">
        <v>383</v>
      </c>
      <c r="D69" s="35" t="s">
        <v>24</v>
      </c>
      <c r="E69" s="60" t="s">
        <v>696</v>
      </c>
      <c r="F69" s="60" t="s">
        <v>696</v>
      </c>
      <c r="G69" s="61" t="s">
        <v>697</v>
      </c>
      <c r="H69" s="61" t="s">
        <v>698</v>
      </c>
      <c r="I69" s="61" t="s">
        <v>699</v>
      </c>
      <c r="J69" s="61" t="s">
        <v>700</v>
      </c>
      <c r="K69" s="14" t="s">
        <v>262</v>
      </c>
      <c r="L69" s="15" t="e">
        <f>(-H69+G69)/G69</f>
        <v>#VALUE!</v>
      </c>
      <c r="M69" s="18"/>
      <c r="N69" s="18"/>
    </row>
    <row r="70" spans="1:14" s="1" customFormat="1" x14ac:dyDescent="0.3">
      <c r="A70" s="11" t="s">
        <v>77</v>
      </c>
      <c r="B70" s="11" t="s">
        <v>77</v>
      </c>
      <c r="C70" s="12" t="s">
        <v>384</v>
      </c>
      <c r="D70" s="35" t="s">
        <v>24</v>
      </c>
      <c r="E70" s="60" t="s">
        <v>701</v>
      </c>
      <c r="F70" s="60" t="s">
        <v>701</v>
      </c>
      <c r="G70" s="61" t="s">
        <v>702</v>
      </c>
      <c r="H70" s="61" t="s">
        <v>703</v>
      </c>
      <c r="I70" s="61" t="s">
        <v>704</v>
      </c>
      <c r="J70" s="61" t="s">
        <v>705</v>
      </c>
      <c r="K70" s="14" t="s">
        <v>263</v>
      </c>
      <c r="L70" s="15" t="e">
        <f>(-H70+G70)/G70</f>
        <v>#VALUE!</v>
      </c>
      <c r="M70" s="18"/>
      <c r="N70" s="18"/>
    </row>
    <row r="71" spans="1:14" s="1" customFormat="1" x14ac:dyDescent="0.3">
      <c r="A71" s="11" t="s">
        <v>78</v>
      </c>
      <c r="B71" s="11" t="s">
        <v>78</v>
      </c>
      <c r="C71" s="12" t="s">
        <v>385</v>
      </c>
      <c r="D71" s="35" t="s">
        <v>24</v>
      </c>
      <c r="E71" s="60" t="s">
        <v>706</v>
      </c>
      <c r="F71" s="60" t="s">
        <v>706</v>
      </c>
      <c r="G71" s="61" t="s">
        <v>707</v>
      </c>
      <c r="H71" s="61" t="s">
        <v>708</v>
      </c>
      <c r="I71" s="61" t="s">
        <v>709</v>
      </c>
      <c r="J71" s="61" t="s">
        <v>710</v>
      </c>
      <c r="K71" s="14" t="s">
        <v>264</v>
      </c>
      <c r="L71" s="15" t="e">
        <f>(-H71+G71)/G71</f>
        <v>#VALUE!</v>
      </c>
      <c r="M71" s="18"/>
      <c r="N71" s="18"/>
    </row>
    <row r="72" spans="1:14" s="1" customFormat="1" x14ac:dyDescent="0.3">
      <c r="A72" s="11" t="s">
        <v>79</v>
      </c>
      <c r="B72" s="11" t="s">
        <v>79</v>
      </c>
      <c r="C72" s="12" t="s">
        <v>386</v>
      </c>
      <c r="D72" s="35" t="s">
        <v>24</v>
      </c>
      <c r="E72" s="60" t="s">
        <v>661</v>
      </c>
      <c r="F72" s="60" t="s">
        <v>661</v>
      </c>
      <c r="G72" s="61" t="s">
        <v>662</v>
      </c>
      <c r="H72" s="61" t="s">
        <v>536</v>
      </c>
      <c r="I72" s="61" t="s">
        <v>507</v>
      </c>
      <c r="J72" s="61" t="s">
        <v>663</v>
      </c>
      <c r="K72" s="14" t="s">
        <v>254</v>
      </c>
      <c r="L72" s="15" t="e">
        <f>(-H72+G72)/G72</f>
        <v>#VALUE!</v>
      </c>
      <c r="M72" s="18"/>
      <c r="N72" s="18"/>
    </row>
    <row r="73" spans="1:14" s="1" customFormat="1" x14ac:dyDescent="0.3">
      <c r="A73" s="11" t="s">
        <v>80</v>
      </c>
      <c r="B73" s="11" t="s">
        <v>80</v>
      </c>
      <c r="C73" s="12" t="s">
        <v>387</v>
      </c>
      <c r="D73" s="35" t="s">
        <v>24</v>
      </c>
      <c r="E73" s="60" t="s">
        <v>711</v>
      </c>
      <c r="F73" s="60" t="s">
        <v>711</v>
      </c>
      <c r="G73" s="61" t="s">
        <v>712</v>
      </c>
      <c r="H73" s="61" t="s">
        <v>713</v>
      </c>
      <c r="I73" s="61" t="s">
        <v>714</v>
      </c>
      <c r="J73" s="61" t="s">
        <v>715</v>
      </c>
      <c r="K73" s="14" t="s">
        <v>265</v>
      </c>
      <c r="L73" s="15" t="e">
        <f>(-H73+G73)/G73</f>
        <v>#VALUE!</v>
      </c>
      <c r="M73" s="18"/>
      <c r="N73" s="18"/>
    </row>
    <row r="74" spans="1:14" s="1" customFormat="1" x14ac:dyDescent="0.3">
      <c r="A74" s="11" t="s">
        <v>81</v>
      </c>
      <c r="B74" s="11" t="s">
        <v>81</v>
      </c>
      <c r="C74" s="12" t="s">
        <v>388</v>
      </c>
      <c r="D74" s="35" t="s">
        <v>24</v>
      </c>
      <c r="E74" s="60" t="s">
        <v>716</v>
      </c>
      <c r="F74" s="60" t="s">
        <v>716</v>
      </c>
      <c r="G74" s="61" t="s">
        <v>717</v>
      </c>
      <c r="H74" s="61" t="s">
        <v>718</v>
      </c>
      <c r="I74" s="61" t="s">
        <v>719</v>
      </c>
      <c r="J74" s="61" t="s">
        <v>720</v>
      </c>
      <c r="K74" s="14" t="s">
        <v>266</v>
      </c>
      <c r="L74" s="15" t="e">
        <f>(-H74+G74)/G74</f>
        <v>#VALUE!</v>
      </c>
      <c r="M74" s="18"/>
      <c r="N74" s="18"/>
    </row>
    <row r="75" spans="1:14" s="1" customFormat="1" x14ac:dyDescent="0.3">
      <c r="A75" s="11" t="s">
        <v>82</v>
      </c>
      <c r="B75" s="11" t="s">
        <v>82</v>
      </c>
      <c r="C75" s="12" t="s">
        <v>389</v>
      </c>
      <c r="D75" s="35" t="s">
        <v>24</v>
      </c>
      <c r="E75" s="60" t="s">
        <v>721</v>
      </c>
      <c r="F75" s="60" t="s">
        <v>721</v>
      </c>
      <c r="G75" s="61" t="s">
        <v>722</v>
      </c>
      <c r="H75" s="61" t="s">
        <v>723</v>
      </c>
      <c r="I75" s="61" t="s">
        <v>678</v>
      </c>
      <c r="J75" s="61" t="s">
        <v>724</v>
      </c>
      <c r="K75" s="14" t="s">
        <v>267</v>
      </c>
      <c r="L75" s="15" t="e">
        <f>(-H75+G75)/G75</f>
        <v>#VALUE!</v>
      </c>
      <c r="M75" s="18"/>
      <c r="N75" s="18"/>
    </row>
    <row r="76" spans="1:14" s="1" customFormat="1" x14ac:dyDescent="0.3">
      <c r="A76" s="11" t="s">
        <v>83</v>
      </c>
      <c r="B76" s="11" t="s">
        <v>83</v>
      </c>
      <c r="C76" s="12" t="s">
        <v>390</v>
      </c>
      <c r="D76" s="35" t="s">
        <v>24</v>
      </c>
      <c r="E76" s="60" t="s">
        <v>725</v>
      </c>
      <c r="F76" s="60" t="s">
        <v>725</v>
      </c>
      <c r="G76" s="61" t="s">
        <v>726</v>
      </c>
      <c r="H76" s="61" t="s">
        <v>727</v>
      </c>
      <c r="I76" s="61" t="s">
        <v>728</v>
      </c>
      <c r="J76" s="61" t="s">
        <v>729</v>
      </c>
      <c r="K76" s="14" t="s">
        <v>268</v>
      </c>
      <c r="L76" s="15" t="e">
        <f>(-H76+G76)/G76</f>
        <v>#VALUE!</v>
      </c>
      <c r="M76" s="18"/>
      <c r="N76" s="18"/>
    </row>
    <row r="77" spans="1:14" s="1" customFormat="1" x14ac:dyDescent="0.3">
      <c r="A77" s="11" t="s">
        <v>84</v>
      </c>
      <c r="B77" s="11" t="s">
        <v>84</v>
      </c>
      <c r="C77" s="12" t="s">
        <v>391</v>
      </c>
      <c r="D77" s="35" t="s">
        <v>24</v>
      </c>
      <c r="E77" s="60" t="s">
        <v>730</v>
      </c>
      <c r="F77" s="60" t="s">
        <v>730</v>
      </c>
      <c r="G77" s="61">
        <v>11</v>
      </c>
      <c r="H77" s="61" t="s">
        <v>731</v>
      </c>
      <c r="I77" s="61" t="s">
        <v>732</v>
      </c>
      <c r="J77" s="61" t="s">
        <v>733</v>
      </c>
      <c r="K77" s="14" t="s">
        <v>269</v>
      </c>
      <c r="L77" s="15" t="e">
        <f>(-H77+G77)/G77</f>
        <v>#VALUE!</v>
      </c>
      <c r="M77" s="18"/>
      <c r="N77" s="18"/>
    </row>
    <row r="78" spans="1:14" s="1" customFormat="1" x14ac:dyDescent="0.3">
      <c r="A78" s="11" t="s">
        <v>85</v>
      </c>
      <c r="B78" s="11" t="s">
        <v>85</v>
      </c>
      <c r="C78" s="12" t="s">
        <v>392</v>
      </c>
      <c r="D78" s="35" t="s">
        <v>24</v>
      </c>
      <c r="E78" s="60" t="s">
        <v>723</v>
      </c>
      <c r="F78" s="60" t="s">
        <v>723</v>
      </c>
      <c r="G78" s="61" t="s">
        <v>734</v>
      </c>
      <c r="H78" s="61" t="s">
        <v>735</v>
      </c>
      <c r="I78" s="61" t="s">
        <v>736</v>
      </c>
      <c r="J78" s="61" t="s">
        <v>737</v>
      </c>
      <c r="K78" s="14" t="s">
        <v>270</v>
      </c>
      <c r="L78" s="15" t="e">
        <f>(-H78+G78)/G78</f>
        <v>#VALUE!</v>
      </c>
      <c r="M78" s="18"/>
      <c r="N78" s="18"/>
    </row>
    <row r="79" spans="1:14" s="1" customFormat="1" x14ac:dyDescent="0.3">
      <c r="A79" s="11" t="s">
        <v>86</v>
      </c>
      <c r="B79" s="11" t="s">
        <v>86</v>
      </c>
      <c r="C79" s="12" t="s">
        <v>393</v>
      </c>
      <c r="D79" s="35" t="s">
        <v>24</v>
      </c>
      <c r="E79" s="60" t="s">
        <v>738</v>
      </c>
      <c r="F79" s="60" t="s">
        <v>738</v>
      </c>
      <c r="G79" s="61" t="s">
        <v>739</v>
      </c>
      <c r="H79" s="61" t="s">
        <v>740</v>
      </c>
      <c r="I79" s="61" t="s">
        <v>741</v>
      </c>
      <c r="J79" s="61" t="s">
        <v>742</v>
      </c>
      <c r="K79" s="14" t="s">
        <v>271</v>
      </c>
      <c r="L79" s="15" t="e">
        <f>(-H79+G79)/G79</f>
        <v>#VALUE!</v>
      </c>
      <c r="M79" s="18"/>
      <c r="N79" s="18"/>
    </row>
    <row r="80" spans="1:14" s="1" customFormat="1" x14ac:dyDescent="0.3">
      <c r="A80" s="11" t="s">
        <v>87</v>
      </c>
      <c r="B80" s="11" t="s">
        <v>87</v>
      </c>
      <c r="C80" s="12" t="s">
        <v>394</v>
      </c>
      <c r="D80" s="35" t="s">
        <v>24</v>
      </c>
      <c r="E80" s="60" t="s">
        <v>743</v>
      </c>
      <c r="F80" s="60" t="s">
        <v>743</v>
      </c>
      <c r="G80" s="61" t="s">
        <v>744</v>
      </c>
      <c r="H80" s="61" t="s">
        <v>745</v>
      </c>
      <c r="I80" s="61" t="s">
        <v>746</v>
      </c>
      <c r="J80" s="61" t="s">
        <v>747</v>
      </c>
      <c r="K80" s="14" t="s">
        <v>272</v>
      </c>
      <c r="L80" s="15" t="e">
        <f>(-H80+G80)/G80</f>
        <v>#VALUE!</v>
      </c>
      <c r="M80" s="18"/>
      <c r="N80" s="18"/>
    </row>
    <row r="81" spans="1:14" s="1" customFormat="1" x14ac:dyDescent="0.3">
      <c r="A81" s="11" t="s">
        <v>88</v>
      </c>
      <c r="B81" s="11" t="s">
        <v>88</v>
      </c>
      <c r="C81" s="12" t="s">
        <v>395</v>
      </c>
      <c r="D81" s="35" t="s">
        <v>24</v>
      </c>
      <c r="E81" s="60" t="s">
        <v>743</v>
      </c>
      <c r="F81" s="60" t="s">
        <v>743</v>
      </c>
      <c r="G81" s="61" t="s">
        <v>744</v>
      </c>
      <c r="H81" s="61" t="s">
        <v>745</v>
      </c>
      <c r="I81" s="61" t="s">
        <v>746</v>
      </c>
      <c r="J81" s="61" t="s">
        <v>747</v>
      </c>
      <c r="K81" s="14" t="s">
        <v>272</v>
      </c>
      <c r="L81" s="15" t="e">
        <f>(-H81+G81)/G81</f>
        <v>#VALUE!</v>
      </c>
      <c r="M81" s="18"/>
      <c r="N81" s="18"/>
    </row>
    <row r="82" spans="1:14" s="1" customFormat="1" x14ac:dyDescent="0.3">
      <c r="A82" s="11" t="s">
        <v>89</v>
      </c>
      <c r="B82" s="11" t="s">
        <v>89</v>
      </c>
      <c r="C82" s="12" t="s">
        <v>396</v>
      </c>
      <c r="D82" s="35" t="s">
        <v>24</v>
      </c>
      <c r="E82" s="60" t="s">
        <v>723</v>
      </c>
      <c r="F82" s="60" t="s">
        <v>723</v>
      </c>
      <c r="G82" s="61" t="s">
        <v>734</v>
      </c>
      <c r="H82" s="61" t="s">
        <v>735</v>
      </c>
      <c r="I82" s="61" t="s">
        <v>736</v>
      </c>
      <c r="J82" s="61" t="s">
        <v>737</v>
      </c>
      <c r="K82" s="14" t="s">
        <v>270</v>
      </c>
      <c r="L82" s="15" t="e">
        <f>(-H82+G82)/G82</f>
        <v>#VALUE!</v>
      </c>
      <c r="M82" s="18"/>
      <c r="N82" s="18"/>
    </row>
    <row r="83" spans="1:14" s="1" customFormat="1" x14ac:dyDescent="0.3">
      <c r="A83" s="11" t="s">
        <v>90</v>
      </c>
      <c r="B83" s="11" t="s">
        <v>90</v>
      </c>
      <c r="C83" s="12" t="s">
        <v>397</v>
      </c>
      <c r="D83" s="35" t="s">
        <v>24</v>
      </c>
      <c r="E83" s="60" t="s">
        <v>669</v>
      </c>
      <c r="F83" s="60" t="s">
        <v>669</v>
      </c>
      <c r="G83" s="61" t="s">
        <v>670</v>
      </c>
      <c r="H83" s="61" t="s">
        <v>671</v>
      </c>
      <c r="I83" s="61" t="s">
        <v>672</v>
      </c>
      <c r="J83" s="61" t="s">
        <v>673</v>
      </c>
      <c r="K83" s="14" t="s">
        <v>256</v>
      </c>
      <c r="L83" s="15" t="e">
        <f>(-H83+G83)/G83</f>
        <v>#VALUE!</v>
      </c>
      <c r="M83" s="18"/>
      <c r="N83" s="18"/>
    </row>
    <row r="84" spans="1:14" s="1" customFormat="1" x14ac:dyDescent="0.3">
      <c r="A84" s="11" t="s">
        <v>91</v>
      </c>
      <c r="B84" s="11" t="s">
        <v>91</v>
      </c>
      <c r="C84" s="12" t="s">
        <v>398</v>
      </c>
      <c r="D84" s="35" t="s">
        <v>24</v>
      </c>
      <c r="E84" s="60" t="s">
        <v>748</v>
      </c>
      <c r="F84" s="60" t="s">
        <v>748</v>
      </c>
      <c r="G84" s="61" t="s">
        <v>749</v>
      </c>
      <c r="H84" s="61" t="s">
        <v>750</v>
      </c>
      <c r="I84" s="61">
        <v>4</v>
      </c>
      <c r="J84" s="61" t="s">
        <v>751</v>
      </c>
      <c r="K84" s="14" t="s">
        <v>273</v>
      </c>
      <c r="L84" s="15" t="e">
        <f>(-H84+G84)/G84</f>
        <v>#VALUE!</v>
      </c>
      <c r="M84" s="18"/>
      <c r="N84" s="18"/>
    </row>
    <row r="85" spans="1:14" s="1" customFormat="1" x14ac:dyDescent="0.3">
      <c r="A85" s="11" t="s">
        <v>92</v>
      </c>
      <c r="B85" s="11" t="s">
        <v>92</v>
      </c>
      <c r="C85" s="12" t="s">
        <v>399</v>
      </c>
      <c r="D85" s="35" t="s">
        <v>24</v>
      </c>
      <c r="E85" s="60" t="s">
        <v>752</v>
      </c>
      <c r="F85" s="60" t="s">
        <v>752</v>
      </c>
      <c r="G85" s="61" t="s">
        <v>753</v>
      </c>
      <c r="H85" s="61" t="s">
        <v>754</v>
      </c>
      <c r="I85" s="61" t="s">
        <v>755</v>
      </c>
      <c r="J85" s="61" t="s">
        <v>756</v>
      </c>
      <c r="K85" s="14" t="s">
        <v>274</v>
      </c>
      <c r="L85" s="15" t="e">
        <f>(-H85+G85)/G85</f>
        <v>#VALUE!</v>
      </c>
      <c r="M85" s="18"/>
      <c r="N85" s="18"/>
    </row>
    <row r="86" spans="1:14" s="1" customFormat="1" x14ac:dyDescent="0.3">
      <c r="A86" s="11" t="s">
        <v>93</v>
      </c>
      <c r="B86" s="11" t="s">
        <v>93</v>
      </c>
      <c r="C86" s="12" t="s">
        <v>400</v>
      </c>
      <c r="D86" s="35" t="s">
        <v>24</v>
      </c>
      <c r="E86" s="60" t="s">
        <v>696</v>
      </c>
      <c r="F86" s="60" t="s">
        <v>696</v>
      </c>
      <c r="G86" s="61" t="s">
        <v>697</v>
      </c>
      <c r="H86" s="61" t="s">
        <v>698</v>
      </c>
      <c r="I86" s="61" t="s">
        <v>699</v>
      </c>
      <c r="J86" s="61" t="s">
        <v>700</v>
      </c>
      <c r="K86" s="14" t="s">
        <v>262</v>
      </c>
      <c r="L86" s="15" t="e">
        <f>(-H86+G86)/G86</f>
        <v>#VALUE!</v>
      </c>
      <c r="M86" s="18"/>
      <c r="N86" s="18"/>
    </row>
    <row r="87" spans="1:14" s="1" customFormat="1" x14ac:dyDescent="0.3">
      <c r="A87" s="11" t="s">
        <v>94</v>
      </c>
      <c r="B87" s="11" t="s">
        <v>94</v>
      </c>
      <c r="C87" s="12" t="s">
        <v>401</v>
      </c>
      <c r="D87" s="35" t="s">
        <v>35</v>
      </c>
      <c r="E87" s="60">
        <v>10</v>
      </c>
      <c r="F87" s="60">
        <v>10</v>
      </c>
      <c r="G87" s="61" t="s">
        <v>757</v>
      </c>
      <c r="H87" s="61">
        <v>11</v>
      </c>
      <c r="I87" s="61" t="s">
        <v>758</v>
      </c>
      <c r="J87" s="61">
        <v>15</v>
      </c>
      <c r="K87" s="14" t="s">
        <v>275</v>
      </c>
      <c r="L87" s="15" t="e">
        <f>(-H87+G87)/G87</f>
        <v>#VALUE!</v>
      </c>
      <c r="M87" s="18"/>
      <c r="N87" s="18"/>
    </row>
    <row r="88" spans="1:14" s="1" customFormat="1" x14ac:dyDescent="0.3">
      <c r="A88" s="11" t="s">
        <v>95</v>
      </c>
      <c r="B88" s="11" t="s">
        <v>95</v>
      </c>
      <c r="C88" s="16" t="s">
        <v>402</v>
      </c>
      <c r="D88" s="37" t="s">
        <v>24</v>
      </c>
      <c r="E88" s="62">
        <v>60</v>
      </c>
      <c r="F88" s="62">
        <v>60</v>
      </c>
      <c r="G88" s="63" t="s">
        <v>759</v>
      </c>
      <c r="H88" s="63">
        <v>66</v>
      </c>
      <c r="I88" s="63" t="s">
        <v>760</v>
      </c>
      <c r="J88" s="63">
        <v>90</v>
      </c>
      <c r="K88" s="22" t="s">
        <v>276</v>
      </c>
      <c r="L88" s="6" t="e">
        <f>(-H88+G88)/G88</f>
        <v>#VALUE!</v>
      </c>
      <c r="M88" s="18"/>
      <c r="N88" s="18"/>
    </row>
    <row r="89" spans="1:14" s="1" customFormat="1" x14ac:dyDescent="0.3">
      <c r="A89" s="11" t="s">
        <v>96</v>
      </c>
      <c r="B89" s="11" t="s">
        <v>96</v>
      </c>
      <c r="C89" s="16" t="s">
        <v>403</v>
      </c>
      <c r="D89" s="37" t="s">
        <v>24</v>
      </c>
      <c r="E89" s="62">
        <v>20</v>
      </c>
      <c r="F89" s="62" t="s">
        <v>761</v>
      </c>
      <c r="G89" s="63" t="s">
        <v>762</v>
      </c>
      <c r="H89" s="63" t="s">
        <v>763</v>
      </c>
      <c r="I89" s="63" t="s">
        <v>764</v>
      </c>
      <c r="J89" s="63" t="s">
        <v>765</v>
      </c>
      <c r="K89" s="22" t="s">
        <v>277</v>
      </c>
      <c r="L89" s="6" t="e">
        <f>(-H89+G89)/G89</f>
        <v>#VALUE!</v>
      </c>
      <c r="M89" s="18"/>
      <c r="N89" s="18"/>
    </row>
    <row r="90" spans="1:14" s="1" customFormat="1" x14ac:dyDescent="0.3">
      <c r="A90" s="11" t="s">
        <v>97</v>
      </c>
      <c r="B90" s="11" t="s">
        <v>97</v>
      </c>
      <c r="C90" s="16"/>
      <c r="D90" s="37"/>
      <c r="E90" s="62"/>
      <c r="F90" s="62"/>
      <c r="G90" s="63"/>
      <c r="H90" s="63"/>
      <c r="I90" s="63"/>
      <c r="J90" s="63"/>
      <c r="K90" s="22" t="s">
        <v>278</v>
      </c>
      <c r="L90" s="6"/>
    </row>
    <row r="91" spans="1:14" s="1" customFormat="1" x14ac:dyDescent="0.3">
      <c r="A91" s="11" t="s">
        <v>98</v>
      </c>
      <c r="B91" s="11" t="s">
        <v>98</v>
      </c>
      <c r="C91" s="16"/>
      <c r="D91" s="37"/>
      <c r="E91" s="62"/>
      <c r="F91" s="62"/>
      <c r="G91" s="63"/>
      <c r="H91" s="63"/>
      <c r="I91" s="63"/>
      <c r="J91" s="63"/>
      <c r="K91" s="22" t="s">
        <v>278</v>
      </c>
      <c r="L91" s="6"/>
    </row>
    <row r="92" spans="1:14" s="1" customFormat="1" x14ac:dyDescent="0.3">
      <c r="A92" s="11" t="s">
        <v>99</v>
      </c>
      <c r="B92" s="11" t="s">
        <v>99</v>
      </c>
      <c r="C92" s="16"/>
      <c r="D92" s="37"/>
      <c r="E92" s="62"/>
      <c r="F92" s="62"/>
      <c r="G92" s="63"/>
      <c r="H92" s="63"/>
      <c r="I92" s="63"/>
      <c r="J92" s="63"/>
      <c r="K92" s="22" t="s">
        <v>278</v>
      </c>
      <c r="L92" s="6"/>
    </row>
    <row r="93" spans="1:14" s="1" customFormat="1" x14ac:dyDescent="0.3">
      <c r="A93" s="11" t="s">
        <v>100</v>
      </c>
      <c r="B93" s="11" t="s">
        <v>100</v>
      </c>
      <c r="C93" s="16"/>
      <c r="D93" s="37"/>
      <c r="E93" s="62"/>
      <c r="F93" s="62"/>
      <c r="G93" s="63"/>
      <c r="H93" s="63"/>
      <c r="I93" s="63"/>
      <c r="J93" s="63"/>
      <c r="K93" s="22" t="s">
        <v>278</v>
      </c>
      <c r="L93" s="6"/>
    </row>
    <row r="94" spans="1:14" s="1" customFormat="1" x14ac:dyDescent="0.3">
      <c r="A94" s="11" t="s">
        <v>101</v>
      </c>
      <c r="B94" s="11" t="s">
        <v>101</v>
      </c>
      <c r="C94" s="16"/>
      <c r="D94" s="37"/>
      <c r="E94" s="62"/>
      <c r="F94" s="62"/>
      <c r="G94" s="63"/>
      <c r="H94" s="63"/>
      <c r="I94" s="63"/>
      <c r="J94" s="63"/>
      <c r="K94" s="22" t="s">
        <v>278</v>
      </c>
      <c r="L94" s="6"/>
    </row>
    <row r="95" spans="1:14" s="1" customFormat="1" x14ac:dyDescent="0.3">
      <c r="A95" s="11" t="s">
        <v>102</v>
      </c>
      <c r="B95" s="11" t="s">
        <v>102</v>
      </c>
      <c r="C95" s="16"/>
      <c r="D95" s="37"/>
      <c r="E95" s="62"/>
      <c r="F95" s="62"/>
      <c r="G95" s="63"/>
      <c r="H95" s="63"/>
      <c r="I95" s="63"/>
      <c r="J95" s="63"/>
      <c r="K95" s="22" t="s">
        <v>278</v>
      </c>
      <c r="L95" s="6"/>
    </row>
    <row r="96" spans="1:14" s="1" customFormat="1" x14ac:dyDescent="0.3">
      <c r="A96" s="11" t="s">
        <v>103</v>
      </c>
      <c r="B96" s="11" t="s">
        <v>103</v>
      </c>
      <c r="C96" s="16"/>
      <c r="D96" s="37"/>
      <c r="E96" s="62"/>
      <c r="F96" s="62"/>
      <c r="G96" s="63"/>
      <c r="H96" s="63"/>
      <c r="I96" s="63"/>
      <c r="J96" s="63"/>
      <c r="K96" s="22" t="s">
        <v>278</v>
      </c>
      <c r="L96" s="6"/>
    </row>
    <row r="97" spans="1:14" s="1" customFormat="1" x14ac:dyDescent="0.3">
      <c r="A97" s="11" t="s">
        <v>104</v>
      </c>
      <c r="B97" s="11" t="s">
        <v>104</v>
      </c>
      <c r="C97" s="16"/>
      <c r="D97" s="37"/>
      <c r="E97" s="62"/>
      <c r="F97" s="62"/>
      <c r="G97" s="63"/>
      <c r="H97" s="63"/>
      <c r="I97" s="63"/>
      <c r="J97" s="63"/>
      <c r="K97" s="22" t="s">
        <v>278</v>
      </c>
      <c r="L97" s="6"/>
    </row>
    <row r="98" spans="1:14" s="1" customFormat="1" x14ac:dyDescent="0.3">
      <c r="A98" s="11" t="s">
        <v>105</v>
      </c>
      <c r="B98" s="11" t="s">
        <v>105</v>
      </c>
      <c r="C98" s="16"/>
      <c r="D98" s="37"/>
      <c r="E98" s="62"/>
      <c r="F98" s="62"/>
      <c r="G98" s="63"/>
      <c r="H98" s="63"/>
      <c r="I98" s="63"/>
      <c r="J98" s="63"/>
      <c r="K98" s="22" t="s">
        <v>278</v>
      </c>
      <c r="L98" s="6"/>
    </row>
    <row r="99" spans="1:14" s="1" customFormat="1" x14ac:dyDescent="0.3">
      <c r="A99" s="11" t="s">
        <v>214</v>
      </c>
      <c r="B99" s="11" t="s">
        <v>214</v>
      </c>
      <c r="C99" s="16"/>
      <c r="D99" s="37"/>
      <c r="E99" s="62"/>
      <c r="F99" s="62"/>
      <c r="G99" s="63"/>
      <c r="H99" s="63"/>
      <c r="I99" s="63"/>
      <c r="J99" s="63"/>
      <c r="K99" s="17" t="s">
        <v>278</v>
      </c>
      <c r="L99" s="6"/>
    </row>
    <row r="100" spans="1:14" s="1" customFormat="1" ht="21" x14ac:dyDescent="0.4">
      <c r="A100" s="10"/>
      <c r="B100" s="10"/>
      <c r="C100" s="39" t="s">
        <v>106</v>
      </c>
      <c r="D100" s="37"/>
      <c r="E100" s="62"/>
      <c r="F100" s="62"/>
      <c r="G100" s="63"/>
      <c r="H100" s="63"/>
      <c r="I100" s="63"/>
      <c r="J100" s="63"/>
      <c r="K100" s="17" t="s">
        <v>278</v>
      </c>
      <c r="L100" s="6"/>
    </row>
    <row r="101" spans="1:14" s="1" customFormat="1" x14ac:dyDescent="0.3">
      <c r="A101" s="11" t="s">
        <v>107</v>
      </c>
      <c r="B101" s="11" t="s">
        <v>107</v>
      </c>
      <c r="C101" s="16" t="s">
        <v>404</v>
      </c>
      <c r="D101" s="37" t="s">
        <v>108</v>
      </c>
      <c r="E101" s="62" t="s">
        <v>1071</v>
      </c>
      <c r="F101" s="62" t="s">
        <v>1072</v>
      </c>
      <c r="G101" s="63" t="s">
        <v>766</v>
      </c>
      <c r="H101" s="63" t="s">
        <v>767</v>
      </c>
      <c r="I101" s="63" t="s">
        <v>768</v>
      </c>
      <c r="J101" s="63" t="s">
        <v>682</v>
      </c>
      <c r="K101" s="14" t="s">
        <v>279</v>
      </c>
      <c r="L101" s="6" t="e">
        <f>(-H101+G101)/G101</f>
        <v>#VALUE!</v>
      </c>
      <c r="M101" s="18"/>
      <c r="N101" s="18"/>
    </row>
    <row r="102" spans="1:14" s="1" customFormat="1" x14ac:dyDescent="0.3">
      <c r="A102" s="11" t="s">
        <v>109</v>
      </c>
      <c r="B102" s="11" t="s">
        <v>109</v>
      </c>
      <c r="C102" s="16" t="s">
        <v>405</v>
      </c>
      <c r="D102" s="37" t="s">
        <v>108</v>
      </c>
      <c r="E102" s="62" t="s">
        <v>1071</v>
      </c>
      <c r="F102" s="62" t="s">
        <v>1072</v>
      </c>
      <c r="G102" s="63" t="s">
        <v>766</v>
      </c>
      <c r="H102" s="63" t="s">
        <v>767</v>
      </c>
      <c r="I102" s="63" t="s">
        <v>768</v>
      </c>
      <c r="J102" s="63" t="s">
        <v>682</v>
      </c>
      <c r="K102" s="14" t="s">
        <v>279</v>
      </c>
      <c r="L102" s="6" t="e">
        <f>(-H102+G102)/G102</f>
        <v>#VALUE!</v>
      </c>
      <c r="M102" s="18"/>
      <c r="N102" s="18"/>
    </row>
    <row r="103" spans="1:14" s="1" customFormat="1" x14ac:dyDescent="0.3">
      <c r="A103" s="11" t="s">
        <v>110</v>
      </c>
      <c r="B103" s="11" t="s">
        <v>110</v>
      </c>
      <c r="C103" s="16" t="s">
        <v>406</v>
      </c>
      <c r="D103" s="37" t="s">
        <v>35</v>
      </c>
      <c r="E103" s="62" t="s">
        <v>994</v>
      </c>
      <c r="F103" s="62" t="s">
        <v>994</v>
      </c>
      <c r="G103" s="63" t="s">
        <v>679</v>
      </c>
      <c r="H103" s="63" t="s">
        <v>769</v>
      </c>
      <c r="I103" s="63" t="s">
        <v>770</v>
      </c>
      <c r="J103" s="63" t="s">
        <v>771</v>
      </c>
      <c r="K103" s="23" t="s">
        <v>280</v>
      </c>
      <c r="L103" s="6" t="e">
        <f>(-H103+G103)/G103</f>
        <v>#VALUE!</v>
      </c>
      <c r="M103" s="18"/>
      <c r="N103" s="18"/>
    </row>
    <row r="104" spans="1:14" s="1" customFormat="1" x14ac:dyDescent="0.3">
      <c r="A104" s="11" t="s">
        <v>111</v>
      </c>
      <c r="B104" s="11" t="s">
        <v>111</v>
      </c>
      <c r="C104" s="16" t="s">
        <v>407</v>
      </c>
      <c r="D104" s="37" t="s">
        <v>35</v>
      </c>
      <c r="E104" s="62" t="s">
        <v>1073</v>
      </c>
      <c r="F104" s="62" t="s">
        <v>1073</v>
      </c>
      <c r="G104" s="63" t="s">
        <v>772</v>
      </c>
      <c r="H104" s="63">
        <v>12</v>
      </c>
      <c r="I104" s="63" t="s">
        <v>773</v>
      </c>
      <c r="J104" s="63" t="s">
        <v>774</v>
      </c>
      <c r="K104" s="23" t="s">
        <v>281</v>
      </c>
      <c r="L104" s="6" t="e">
        <f>(-H104+G104)/G104</f>
        <v>#VALUE!</v>
      </c>
      <c r="M104" s="18"/>
      <c r="N104" s="18"/>
    </row>
    <row r="105" spans="1:14" s="1" customFormat="1" x14ac:dyDescent="0.3">
      <c r="A105" s="11" t="s">
        <v>112</v>
      </c>
      <c r="B105" s="11" t="s">
        <v>112</v>
      </c>
      <c r="C105" s="16" t="s">
        <v>408</v>
      </c>
      <c r="D105" s="37" t="s">
        <v>35</v>
      </c>
      <c r="E105" s="62" t="s">
        <v>1074</v>
      </c>
      <c r="F105" s="62" t="s">
        <v>1074</v>
      </c>
      <c r="G105" s="63" t="s">
        <v>775</v>
      </c>
      <c r="H105" s="63" t="s">
        <v>776</v>
      </c>
      <c r="I105" s="63" t="s">
        <v>777</v>
      </c>
      <c r="J105" s="63" t="s">
        <v>778</v>
      </c>
      <c r="K105" s="23" t="s">
        <v>282</v>
      </c>
      <c r="L105" s="6" t="e">
        <f>(-H105+G105)/G105</f>
        <v>#VALUE!</v>
      </c>
      <c r="M105" s="18"/>
      <c r="N105" s="18"/>
    </row>
    <row r="106" spans="1:14" s="1" customFormat="1" x14ac:dyDescent="0.3">
      <c r="A106" s="11" t="s">
        <v>113</v>
      </c>
      <c r="B106" s="11" t="s">
        <v>113</v>
      </c>
      <c r="C106" s="16" t="s">
        <v>409</v>
      </c>
      <c r="D106" s="37" t="s">
        <v>35</v>
      </c>
      <c r="E106" s="62" t="s">
        <v>1075</v>
      </c>
      <c r="F106" s="62" t="s">
        <v>1075</v>
      </c>
      <c r="G106" s="63" t="s">
        <v>779</v>
      </c>
      <c r="H106" s="63" t="s">
        <v>780</v>
      </c>
      <c r="I106" s="63" t="s">
        <v>781</v>
      </c>
      <c r="J106" s="63" t="s">
        <v>782</v>
      </c>
      <c r="K106" s="23" t="s">
        <v>283</v>
      </c>
      <c r="L106" s="6" t="e">
        <f>(-H106+G106)/G106</f>
        <v>#VALUE!</v>
      </c>
      <c r="M106" s="18"/>
      <c r="N106" s="18"/>
    </row>
    <row r="107" spans="1:14" s="1" customFormat="1" x14ac:dyDescent="0.3">
      <c r="A107" s="11" t="s">
        <v>114</v>
      </c>
      <c r="B107" s="11" t="s">
        <v>114</v>
      </c>
      <c r="C107" s="16" t="s">
        <v>410</v>
      </c>
      <c r="D107" s="37" t="s">
        <v>35</v>
      </c>
      <c r="E107" s="62" t="s">
        <v>1076</v>
      </c>
      <c r="F107" s="62" t="s">
        <v>1076</v>
      </c>
      <c r="G107" s="63" t="s">
        <v>783</v>
      </c>
      <c r="H107" s="63" t="s">
        <v>784</v>
      </c>
      <c r="I107" s="63" t="s">
        <v>785</v>
      </c>
      <c r="J107" s="63" t="s">
        <v>786</v>
      </c>
      <c r="K107" s="24" t="s">
        <v>284</v>
      </c>
      <c r="L107" s="6" t="e">
        <f>(-H107+G107)/G107</f>
        <v>#VALUE!</v>
      </c>
      <c r="M107" s="18"/>
      <c r="N107" s="18"/>
    </row>
    <row r="108" spans="1:14" s="1" customFormat="1" x14ac:dyDescent="0.3">
      <c r="A108" s="11" t="s">
        <v>115</v>
      </c>
      <c r="B108" s="11" t="s">
        <v>115</v>
      </c>
      <c r="C108" s="16" t="s">
        <v>411</v>
      </c>
      <c r="D108" s="37" t="s">
        <v>35</v>
      </c>
      <c r="E108" s="62" t="s">
        <v>1077</v>
      </c>
      <c r="F108" s="62" t="s">
        <v>1077</v>
      </c>
      <c r="G108" s="63" t="s">
        <v>787</v>
      </c>
      <c r="H108" s="63" t="s">
        <v>788</v>
      </c>
      <c r="I108" s="63" t="s">
        <v>789</v>
      </c>
      <c r="J108" s="63" t="s">
        <v>790</v>
      </c>
      <c r="K108" s="23" t="s">
        <v>285</v>
      </c>
      <c r="L108" s="6" t="e">
        <f>(-H108+G108)/G108</f>
        <v>#VALUE!</v>
      </c>
      <c r="M108" s="18"/>
      <c r="N108" s="18"/>
    </row>
    <row r="109" spans="1:14" s="1" customFormat="1" x14ac:dyDescent="0.3">
      <c r="A109" s="11" t="s">
        <v>116</v>
      </c>
      <c r="B109" s="11" t="s">
        <v>116</v>
      </c>
      <c r="C109" s="16" t="s">
        <v>412</v>
      </c>
      <c r="D109" s="37" t="s">
        <v>35</v>
      </c>
      <c r="E109" s="62" t="s">
        <v>1078</v>
      </c>
      <c r="F109" s="62" t="s">
        <v>1078</v>
      </c>
      <c r="G109" s="63" t="s">
        <v>791</v>
      </c>
      <c r="H109" s="63" t="s">
        <v>792</v>
      </c>
      <c r="I109" s="63" t="s">
        <v>793</v>
      </c>
      <c r="J109" s="63" t="s">
        <v>794</v>
      </c>
      <c r="K109" s="24" t="s">
        <v>286</v>
      </c>
      <c r="L109" s="6" t="e">
        <f>(-H109+G109)/G109</f>
        <v>#VALUE!</v>
      </c>
      <c r="M109" s="18"/>
      <c r="N109" s="18"/>
    </row>
    <row r="110" spans="1:14" s="1" customFormat="1" x14ac:dyDescent="0.3">
      <c r="A110" s="11" t="s">
        <v>117</v>
      </c>
      <c r="B110" s="11" t="s">
        <v>117</v>
      </c>
      <c r="C110" s="16" t="s">
        <v>413</v>
      </c>
      <c r="D110" s="37" t="s">
        <v>35</v>
      </c>
      <c r="E110" s="62" t="s">
        <v>1079</v>
      </c>
      <c r="F110" s="62" t="s">
        <v>1079</v>
      </c>
      <c r="G110" s="63" t="s">
        <v>795</v>
      </c>
      <c r="H110" s="63" t="s">
        <v>796</v>
      </c>
      <c r="I110" s="63" t="s">
        <v>797</v>
      </c>
      <c r="J110" s="63" t="s">
        <v>798</v>
      </c>
      <c r="K110" s="23" t="s">
        <v>287</v>
      </c>
      <c r="L110" s="6" t="e">
        <f>(-H110+G110)/G110</f>
        <v>#VALUE!</v>
      </c>
      <c r="M110" s="18"/>
      <c r="N110" s="18"/>
    </row>
    <row r="111" spans="1:14" s="1" customFormat="1" x14ac:dyDescent="0.3">
      <c r="A111" s="11" t="s">
        <v>118</v>
      </c>
      <c r="B111" s="11" t="s">
        <v>118</v>
      </c>
      <c r="C111" s="16" t="s">
        <v>414</v>
      </c>
      <c r="D111" s="37" t="s">
        <v>35</v>
      </c>
      <c r="E111" s="62" t="s">
        <v>1080</v>
      </c>
      <c r="F111" s="62" t="s">
        <v>1081</v>
      </c>
      <c r="G111" s="63" t="s">
        <v>799</v>
      </c>
      <c r="H111" s="63" t="s">
        <v>800</v>
      </c>
      <c r="I111" s="63" t="s">
        <v>801</v>
      </c>
      <c r="J111" s="63" t="s">
        <v>802</v>
      </c>
      <c r="K111" s="17" t="s">
        <v>288</v>
      </c>
      <c r="L111" s="6" t="e">
        <f>(-H111+G111)/G111</f>
        <v>#VALUE!</v>
      </c>
      <c r="M111" s="18"/>
      <c r="N111" s="18"/>
    </row>
    <row r="112" spans="1:14" s="1" customFormat="1" x14ac:dyDescent="0.3">
      <c r="A112" s="11" t="s">
        <v>119</v>
      </c>
      <c r="B112" s="11" t="s">
        <v>119</v>
      </c>
      <c r="C112" s="16" t="s">
        <v>415</v>
      </c>
      <c r="D112" s="37" t="s">
        <v>35</v>
      </c>
      <c r="E112" s="62" t="s">
        <v>1082</v>
      </c>
      <c r="F112" s="62" t="s">
        <v>1083</v>
      </c>
      <c r="G112" s="63" t="s">
        <v>803</v>
      </c>
      <c r="H112" s="63" t="s">
        <v>804</v>
      </c>
      <c r="I112" s="63" t="s">
        <v>805</v>
      </c>
      <c r="J112" s="63" t="s">
        <v>806</v>
      </c>
      <c r="K112" s="17" t="s">
        <v>289</v>
      </c>
      <c r="L112" s="6" t="e">
        <f>(-H112+G112)/G112</f>
        <v>#VALUE!</v>
      </c>
      <c r="M112" s="18"/>
      <c r="N112" s="18"/>
    </row>
    <row r="113" spans="1:14" s="1" customFormat="1" x14ac:dyDescent="0.3">
      <c r="A113" s="11" t="s">
        <v>120</v>
      </c>
      <c r="B113" s="11" t="s">
        <v>120</v>
      </c>
      <c r="C113" s="16" t="s">
        <v>416</v>
      </c>
      <c r="D113" s="37" t="s">
        <v>35</v>
      </c>
      <c r="E113" s="62" t="s">
        <v>807</v>
      </c>
      <c r="F113" s="62" t="s">
        <v>1084</v>
      </c>
      <c r="G113" s="63" t="s">
        <v>808</v>
      </c>
      <c r="H113" s="63" t="s">
        <v>809</v>
      </c>
      <c r="I113" s="63" t="s">
        <v>810</v>
      </c>
      <c r="J113" s="63" t="s">
        <v>811</v>
      </c>
      <c r="K113" s="24" t="s">
        <v>290</v>
      </c>
      <c r="L113" s="6" t="e">
        <f>(-H113+G113)/G113</f>
        <v>#VALUE!</v>
      </c>
      <c r="M113" s="18"/>
      <c r="N113" s="18"/>
    </row>
    <row r="114" spans="1:14" s="1" customFormat="1" x14ac:dyDescent="0.3">
      <c r="A114" s="11" t="s">
        <v>121</v>
      </c>
      <c r="B114" s="11" t="s">
        <v>121</v>
      </c>
      <c r="C114" s="16" t="s">
        <v>417</v>
      </c>
      <c r="D114" s="37" t="s">
        <v>35</v>
      </c>
      <c r="E114" s="62" t="s">
        <v>807</v>
      </c>
      <c r="F114" s="62" t="s">
        <v>1084</v>
      </c>
      <c r="G114" s="63" t="s">
        <v>808</v>
      </c>
      <c r="H114" s="63" t="s">
        <v>809</v>
      </c>
      <c r="I114" s="63" t="s">
        <v>810</v>
      </c>
      <c r="J114" s="63" t="s">
        <v>811</v>
      </c>
      <c r="K114" s="24" t="s">
        <v>290</v>
      </c>
      <c r="L114" s="6" t="e">
        <f>(-H114+G114)/G114</f>
        <v>#VALUE!</v>
      </c>
      <c r="M114" s="18"/>
      <c r="N114" s="18"/>
    </row>
    <row r="115" spans="1:14" s="1" customFormat="1" x14ac:dyDescent="0.3">
      <c r="A115" s="11" t="s">
        <v>122</v>
      </c>
      <c r="B115" s="11" t="s">
        <v>122</v>
      </c>
      <c r="C115" s="16" t="s">
        <v>418</v>
      </c>
      <c r="D115" s="37" t="s">
        <v>35</v>
      </c>
      <c r="E115" s="62">
        <v>34</v>
      </c>
      <c r="F115" s="62">
        <v>33</v>
      </c>
      <c r="G115" s="63" t="s">
        <v>812</v>
      </c>
      <c r="H115" s="63" t="s">
        <v>813</v>
      </c>
      <c r="I115" s="63" t="s">
        <v>814</v>
      </c>
      <c r="J115" s="63" t="s">
        <v>815</v>
      </c>
      <c r="K115" s="24" t="s">
        <v>278</v>
      </c>
      <c r="L115" s="6" t="e">
        <f>(-H115+G115)/G115</f>
        <v>#VALUE!</v>
      </c>
      <c r="M115" s="18"/>
      <c r="N115" s="18"/>
    </row>
    <row r="116" spans="1:14" s="1" customFormat="1" x14ac:dyDescent="0.3">
      <c r="A116" s="11" t="s">
        <v>123</v>
      </c>
      <c r="B116" s="11" t="s">
        <v>123</v>
      </c>
      <c r="C116" s="16" t="s">
        <v>419</v>
      </c>
      <c r="D116" s="37" t="s">
        <v>35</v>
      </c>
      <c r="E116" s="62">
        <v>37</v>
      </c>
      <c r="F116" s="62">
        <v>36</v>
      </c>
      <c r="G116" s="63" t="s">
        <v>816</v>
      </c>
      <c r="H116" s="63" t="s">
        <v>594</v>
      </c>
      <c r="I116" s="63" t="s">
        <v>817</v>
      </c>
      <c r="J116" s="63">
        <v>54</v>
      </c>
      <c r="K116" s="17" t="s">
        <v>278</v>
      </c>
      <c r="L116" s="6" t="e">
        <f>(-H116+G116)/G116</f>
        <v>#VALUE!</v>
      </c>
      <c r="M116" s="18"/>
      <c r="N116" s="18"/>
    </row>
    <row r="117" spans="1:14" s="1" customFormat="1" x14ac:dyDescent="0.3">
      <c r="A117" s="11" t="s">
        <v>124</v>
      </c>
      <c r="B117" s="11" t="s">
        <v>124</v>
      </c>
      <c r="C117" s="16" t="s">
        <v>420</v>
      </c>
      <c r="D117" s="37" t="s">
        <v>35</v>
      </c>
      <c r="E117" s="62">
        <v>39</v>
      </c>
      <c r="F117" s="62">
        <v>38</v>
      </c>
      <c r="G117" s="63" t="s">
        <v>818</v>
      </c>
      <c r="H117" s="63" t="s">
        <v>591</v>
      </c>
      <c r="I117" s="63" t="s">
        <v>819</v>
      </c>
      <c r="J117" s="63">
        <v>57</v>
      </c>
      <c r="K117" s="17" t="s">
        <v>278</v>
      </c>
      <c r="L117" s="6" t="e">
        <f>(-H117+G117)/G117</f>
        <v>#VALUE!</v>
      </c>
      <c r="M117" s="18"/>
      <c r="N117" s="18"/>
    </row>
    <row r="118" spans="1:14" s="1" customFormat="1" x14ac:dyDescent="0.3">
      <c r="A118" s="11" t="s">
        <v>125</v>
      </c>
      <c r="B118" s="11" t="s">
        <v>125</v>
      </c>
      <c r="C118" s="16" t="s">
        <v>421</v>
      </c>
      <c r="D118" s="37" t="s">
        <v>35</v>
      </c>
      <c r="E118" s="62" t="s">
        <v>820</v>
      </c>
      <c r="F118" s="62" t="s">
        <v>1085</v>
      </c>
      <c r="G118" s="63" t="s">
        <v>821</v>
      </c>
      <c r="H118" s="63" t="s">
        <v>822</v>
      </c>
      <c r="I118" s="63" t="s">
        <v>823</v>
      </c>
      <c r="J118" s="63" t="s">
        <v>824</v>
      </c>
      <c r="K118" s="24" t="s">
        <v>291</v>
      </c>
      <c r="L118" s="6" t="e">
        <f>(-H118+G118)/G118</f>
        <v>#VALUE!</v>
      </c>
      <c r="M118" s="18"/>
      <c r="N118" s="18"/>
    </row>
    <row r="119" spans="1:14" s="1" customFormat="1" x14ac:dyDescent="0.3">
      <c r="A119" s="11" t="s">
        <v>126</v>
      </c>
      <c r="B119" s="11" t="s">
        <v>126</v>
      </c>
      <c r="C119" s="16" t="s">
        <v>422</v>
      </c>
      <c r="D119" s="37" t="s">
        <v>13</v>
      </c>
      <c r="E119" s="62" t="s">
        <v>825</v>
      </c>
      <c r="F119" s="62" t="s">
        <v>826</v>
      </c>
      <c r="G119" s="63" t="s">
        <v>827</v>
      </c>
      <c r="H119" s="63" t="s">
        <v>828</v>
      </c>
      <c r="I119" s="63" t="s">
        <v>829</v>
      </c>
      <c r="J119" s="63" t="s">
        <v>830</v>
      </c>
      <c r="K119" s="17" t="s">
        <v>292</v>
      </c>
      <c r="L119" s="6" t="e">
        <f>(-H119+G119)/G119</f>
        <v>#VALUE!</v>
      </c>
      <c r="M119" s="18"/>
      <c r="N119" s="18"/>
    </row>
    <row r="120" spans="1:14" s="1" customFormat="1" x14ac:dyDescent="0.3">
      <c r="A120" s="11" t="s">
        <v>127</v>
      </c>
      <c r="B120" s="11" t="s">
        <v>127</v>
      </c>
      <c r="C120" s="16" t="s">
        <v>423</v>
      </c>
      <c r="D120" s="37" t="s">
        <v>13</v>
      </c>
      <c r="E120" s="62">
        <v>42</v>
      </c>
      <c r="F120" s="62" t="s">
        <v>583</v>
      </c>
      <c r="G120" s="63" t="s">
        <v>588</v>
      </c>
      <c r="H120" s="63" t="s">
        <v>585</v>
      </c>
      <c r="I120" s="63" t="s">
        <v>589</v>
      </c>
      <c r="J120" s="63" t="s">
        <v>587</v>
      </c>
      <c r="K120" s="17" t="s">
        <v>292</v>
      </c>
      <c r="L120" s="6" t="e">
        <f>(-H120+G120)/G120</f>
        <v>#VALUE!</v>
      </c>
      <c r="M120" s="18"/>
      <c r="N120" s="18"/>
    </row>
    <row r="121" spans="1:14" s="1" customFormat="1" x14ac:dyDescent="0.3">
      <c r="A121" s="11" t="s">
        <v>128</v>
      </c>
      <c r="B121" s="11" t="s">
        <v>128</v>
      </c>
      <c r="C121" s="16" t="s">
        <v>424</v>
      </c>
      <c r="D121" s="37" t="s">
        <v>13</v>
      </c>
      <c r="E121" s="62">
        <v>65</v>
      </c>
      <c r="F121" s="62" t="s">
        <v>831</v>
      </c>
      <c r="G121" s="63" t="s">
        <v>832</v>
      </c>
      <c r="H121" s="63" t="s">
        <v>833</v>
      </c>
      <c r="I121" s="63" t="s">
        <v>834</v>
      </c>
      <c r="J121" s="63" t="s">
        <v>835</v>
      </c>
      <c r="K121" s="17" t="s">
        <v>292</v>
      </c>
      <c r="L121" s="6" t="e">
        <f>(-H121+G121)/G121</f>
        <v>#VALUE!</v>
      </c>
      <c r="M121" s="18"/>
      <c r="N121" s="18"/>
    </row>
    <row r="122" spans="1:14" s="1" customFormat="1" x14ac:dyDescent="0.3">
      <c r="A122" s="11" t="s">
        <v>129</v>
      </c>
      <c r="B122" s="11" t="s">
        <v>129</v>
      </c>
      <c r="C122" s="16" t="s">
        <v>337</v>
      </c>
      <c r="D122" s="37" t="s">
        <v>15</v>
      </c>
      <c r="E122" s="62" t="s">
        <v>836</v>
      </c>
      <c r="F122" s="62" t="s">
        <v>836</v>
      </c>
      <c r="G122" s="63" t="s">
        <v>837</v>
      </c>
      <c r="H122" s="63" t="s">
        <v>837</v>
      </c>
      <c r="I122" s="63" t="s">
        <v>544</v>
      </c>
      <c r="J122" s="63" t="s">
        <v>545</v>
      </c>
      <c r="K122" s="17" t="s">
        <v>293</v>
      </c>
      <c r="L122" s="6" t="e">
        <f>(-H122+G122)/G122</f>
        <v>#VALUE!</v>
      </c>
      <c r="M122" s="18"/>
      <c r="N122" s="18"/>
    </row>
    <row r="123" spans="1:14" s="1" customFormat="1" x14ac:dyDescent="0.3">
      <c r="A123" s="11" t="s">
        <v>130</v>
      </c>
      <c r="B123" s="11" t="s">
        <v>130</v>
      </c>
      <c r="C123" s="16" t="s">
        <v>425</v>
      </c>
      <c r="D123" s="37" t="s">
        <v>15</v>
      </c>
      <c r="E123" s="62" t="s">
        <v>838</v>
      </c>
      <c r="F123" s="62" t="s">
        <v>838</v>
      </c>
      <c r="G123" s="63" t="s">
        <v>839</v>
      </c>
      <c r="H123" s="63" t="s">
        <v>840</v>
      </c>
      <c r="I123" s="63" t="s">
        <v>841</v>
      </c>
      <c r="J123" s="63" t="s">
        <v>842</v>
      </c>
      <c r="K123" s="17" t="s">
        <v>293</v>
      </c>
      <c r="L123" s="6" t="e">
        <f>(-H123+G123)/G123</f>
        <v>#VALUE!</v>
      </c>
      <c r="M123" s="18"/>
      <c r="N123" s="18"/>
    </row>
    <row r="124" spans="1:14" s="1" customFormat="1" x14ac:dyDescent="0.3">
      <c r="A124" s="11" t="s">
        <v>131</v>
      </c>
      <c r="B124" s="11" t="s">
        <v>131</v>
      </c>
      <c r="C124" s="16" t="s">
        <v>426</v>
      </c>
      <c r="D124" s="37" t="s">
        <v>24</v>
      </c>
      <c r="E124" s="62" t="s">
        <v>843</v>
      </c>
      <c r="F124" s="62" t="s">
        <v>843</v>
      </c>
      <c r="G124" s="63" t="s">
        <v>642</v>
      </c>
      <c r="H124" s="63" t="s">
        <v>640</v>
      </c>
      <c r="I124" s="63" t="s">
        <v>844</v>
      </c>
      <c r="J124" s="63" t="s">
        <v>845</v>
      </c>
      <c r="K124" s="17" t="s">
        <v>293</v>
      </c>
      <c r="L124" s="6" t="e">
        <f>(-H124+G124)/G124</f>
        <v>#VALUE!</v>
      </c>
      <c r="M124" s="18"/>
      <c r="N124" s="18"/>
    </row>
    <row r="125" spans="1:14" s="1" customFormat="1" x14ac:dyDescent="0.3">
      <c r="A125" s="11" t="s">
        <v>132</v>
      </c>
      <c r="B125" s="11" t="s">
        <v>132</v>
      </c>
      <c r="C125" s="16" t="s">
        <v>427</v>
      </c>
      <c r="D125" s="37" t="s">
        <v>24</v>
      </c>
      <c r="E125" s="62" t="s">
        <v>846</v>
      </c>
      <c r="F125" s="62" t="s">
        <v>846</v>
      </c>
      <c r="G125" s="63" t="s">
        <v>847</v>
      </c>
      <c r="H125" s="63" t="s">
        <v>848</v>
      </c>
      <c r="I125" s="63" t="s">
        <v>849</v>
      </c>
      <c r="J125" s="63" t="s">
        <v>514</v>
      </c>
      <c r="K125" s="17" t="s">
        <v>293</v>
      </c>
      <c r="L125" s="6" t="e">
        <f>(-H125+G125)/G125</f>
        <v>#VALUE!</v>
      </c>
      <c r="M125" s="18"/>
      <c r="N125" s="18"/>
    </row>
    <row r="126" spans="1:14" s="1" customFormat="1" x14ac:dyDescent="0.3">
      <c r="A126" s="11" t="s">
        <v>133</v>
      </c>
      <c r="B126" s="11" t="s">
        <v>133</v>
      </c>
      <c r="C126" s="16" t="s">
        <v>428</v>
      </c>
      <c r="D126" s="37" t="s">
        <v>24</v>
      </c>
      <c r="E126" s="62" t="s">
        <v>850</v>
      </c>
      <c r="F126" s="62" t="s">
        <v>850</v>
      </c>
      <c r="G126" s="63" t="s">
        <v>851</v>
      </c>
      <c r="H126" s="63" t="s">
        <v>852</v>
      </c>
      <c r="I126" s="63" t="s">
        <v>853</v>
      </c>
      <c r="J126" s="63" t="s">
        <v>849</v>
      </c>
      <c r="K126" s="17" t="s">
        <v>293</v>
      </c>
      <c r="L126" s="6" t="e">
        <f>(-H126+G126)/G126</f>
        <v>#VALUE!</v>
      </c>
      <c r="M126" s="18"/>
      <c r="N126" s="18"/>
    </row>
    <row r="127" spans="1:14" s="1" customFormat="1" x14ac:dyDescent="0.3">
      <c r="A127" s="11" t="s">
        <v>134</v>
      </c>
      <c r="B127" s="11" t="s">
        <v>134</v>
      </c>
      <c r="C127" s="16" t="s">
        <v>429</v>
      </c>
      <c r="D127" s="37" t="s">
        <v>24</v>
      </c>
      <c r="E127" s="62" t="s">
        <v>850</v>
      </c>
      <c r="F127" s="62" t="s">
        <v>850</v>
      </c>
      <c r="G127" s="63" t="s">
        <v>851</v>
      </c>
      <c r="H127" s="63" t="s">
        <v>852</v>
      </c>
      <c r="I127" s="63" t="s">
        <v>853</v>
      </c>
      <c r="J127" s="63" t="s">
        <v>849</v>
      </c>
      <c r="K127" s="17" t="s">
        <v>293</v>
      </c>
      <c r="L127" s="6" t="e">
        <f>(-H127+G127)/G127</f>
        <v>#VALUE!</v>
      </c>
      <c r="M127" s="18"/>
      <c r="N127" s="18"/>
    </row>
    <row r="128" spans="1:14" s="1" customFormat="1" x14ac:dyDescent="0.3">
      <c r="A128" s="11" t="s">
        <v>135</v>
      </c>
      <c r="B128" s="11" t="s">
        <v>135</v>
      </c>
      <c r="C128" s="16" t="s">
        <v>430</v>
      </c>
      <c r="D128" s="37" t="s">
        <v>24</v>
      </c>
      <c r="E128" s="62" t="s">
        <v>846</v>
      </c>
      <c r="F128" s="62" t="s">
        <v>846</v>
      </c>
      <c r="G128" s="63" t="s">
        <v>847</v>
      </c>
      <c r="H128" s="63" t="s">
        <v>848</v>
      </c>
      <c r="I128" s="63" t="s">
        <v>849</v>
      </c>
      <c r="J128" s="63" t="s">
        <v>514</v>
      </c>
      <c r="K128" s="17" t="s">
        <v>293</v>
      </c>
      <c r="L128" s="6" t="e">
        <f>(-H128+G128)/G128</f>
        <v>#VALUE!</v>
      </c>
      <c r="M128" s="18"/>
      <c r="N128" s="18"/>
    </row>
    <row r="129" spans="1:14" s="1" customFormat="1" x14ac:dyDescent="0.3">
      <c r="A129" s="11" t="s">
        <v>136</v>
      </c>
      <c r="B129" s="11" t="s">
        <v>136</v>
      </c>
      <c r="C129" s="16" t="s">
        <v>431</v>
      </c>
      <c r="D129" s="37" t="s">
        <v>24</v>
      </c>
      <c r="E129" s="62" t="s">
        <v>854</v>
      </c>
      <c r="F129" s="62" t="s">
        <v>854</v>
      </c>
      <c r="G129" s="63" t="s">
        <v>855</v>
      </c>
      <c r="H129" s="63" t="s">
        <v>856</v>
      </c>
      <c r="I129" s="63" t="s">
        <v>857</v>
      </c>
      <c r="J129" s="63" t="s">
        <v>858</v>
      </c>
      <c r="K129" s="17" t="s">
        <v>293</v>
      </c>
      <c r="L129" s="6" t="e">
        <f>(-H129+G129)/G129</f>
        <v>#VALUE!</v>
      </c>
      <c r="M129" s="18"/>
      <c r="N129" s="18"/>
    </row>
    <row r="130" spans="1:14" s="1" customFormat="1" x14ac:dyDescent="0.3">
      <c r="A130" s="11" t="s">
        <v>137</v>
      </c>
      <c r="B130" s="11" t="s">
        <v>137</v>
      </c>
      <c r="C130" s="16" t="s">
        <v>432</v>
      </c>
      <c r="D130" s="37" t="s">
        <v>24</v>
      </c>
      <c r="E130" s="62">
        <v>3</v>
      </c>
      <c r="F130" s="62">
        <v>3</v>
      </c>
      <c r="G130" s="63" t="s">
        <v>625</v>
      </c>
      <c r="H130" s="63" t="s">
        <v>626</v>
      </c>
      <c r="I130" s="63" t="s">
        <v>627</v>
      </c>
      <c r="J130" s="63" t="s">
        <v>628</v>
      </c>
      <c r="K130" s="17" t="s">
        <v>293</v>
      </c>
      <c r="L130" s="6" t="e">
        <f>(-H130+G130)/G130</f>
        <v>#VALUE!</v>
      </c>
      <c r="M130" s="18"/>
      <c r="N130" s="18"/>
    </row>
    <row r="131" spans="1:14" s="1" customFormat="1" x14ac:dyDescent="0.3">
      <c r="A131" s="11" t="s">
        <v>138</v>
      </c>
      <c r="B131" s="11" t="s">
        <v>138</v>
      </c>
      <c r="C131" s="16" t="s">
        <v>433</v>
      </c>
      <c r="D131" s="37" t="s">
        <v>24</v>
      </c>
      <c r="E131" s="62" t="s">
        <v>859</v>
      </c>
      <c r="F131" s="62" t="s">
        <v>859</v>
      </c>
      <c r="G131" s="63" t="s">
        <v>836</v>
      </c>
      <c r="H131" s="63" t="s">
        <v>860</v>
      </c>
      <c r="I131" s="63" t="s">
        <v>836</v>
      </c>
      <c r="J131" s="63" t="s">
        <v>544</v>
      </c>
      <c r="K131" s="17" t="s">
        <v>293</v>
      </c>
      <c r="L131" s="6" t="e">
        <f>(-H131+G131)/G131</f>
        <v>#VALUE!</v>
      </c>
      <c r="M131" s="18"/>
      <c r="N131" s="18"/>
    </row>
    <row r="132" spans="1:14" s="1" customFormat="1" x14ac:dyDescent="0.3">
      <c r="A132" s="11" t="s">
        <v>139</v>
      </c>
      <c r="B132" s="11" t="s">
        <v>139</v>
      </c>
      <c r="C132" s="16" t="s">
        <v>434</v>
      </c>
      <c r="D132" s="37" t="s">
        <v>24</v>
      </c>
      <c r="E132" s="62" t="s">
        <v>859</v>
      </c>
      <c r="F132" s="62" t="s">
        <v>859</v>
      </c>
      <c r="G132" s="63" t="s">
        <v>836</v>
      </c>
      <c r="H132" s="63" t="s">
        <v>860</v>
      </c>
      <c r="I132" s="63" t="s">
        <v>836</v>
      </c>
      <c r="J132" s="63" t="s">
        <v>544</v>
      </c>
      <c r="K132" s="17" t="s">
        <v>293</v>
      </c>
      <c r="L132" s="6" t="e">
        <f>(-H132+G132)/G132</f>
        <v>#VALUE!</v>
      </c>
      <c r="M132" s="18"/>
      <c r="N132" s="18"/>
    </row>
    <row r="133" spans="1:14" s="1" customFormat="1" x14ac:dyDescent="0.3">
      <c r="A133" s="11" t="s">
        <v>140</v>
      </c>
      <c r="B133" s="11" t="s">
        <v>140</v>
      </c>
      <c r="C133" s="16" t="s">
        <v>435</v>
      </c>
      <c r="D133" s="37" t="s">
        <v>24</v>
      </c>
      <c r="E133" s="62" t="s">
        <v>859</v>
      </c>
      <c r="F133" s="62" t="s">
        <v>859</v>
      </c>
      <c r="G133" s="63" t="s">
        <v>836</v>
      </c>
      <c r="H133" s="63" t="s">
        <v>860</v>
      </c>
      <c r="I133" s="63" t="s">
        <v>836</v>
      </c>
      <c r="J133" s="63" t="s">
        <v>544</v>
      </c>
      <c r="K133" s="17" t="s">
        <v>293</v>
      </c>
      <c r="L133" s="6" t="e">
        <f>(-H133+G133)/G133</f>
        <v>#VALUE!</v>
      </c>
      <c r="M133" s="18"/>
      <c r="N133" s="18"/>
    </row>
    <row r="134" spans="1:14" s="1" customFormat="1" x14ac:dyDescent="0.3">
      <c r="A134" s="11" t="s">
        <v>141</v>
      </c>
      <c r="B134" s="11" t="s">
        <v>141</v>
      </c>
      <c r="C134" s="16" t="s">
        <v>436</v>
      </c>
      <c r="D134" s="37" t="s">
        <v>24</v>
      </c>
      <c r="E134" s="62" t="s">
        <v>859</v>
      </c>
      <c r="F134" s="62" t="s">
        <v>859</v>
      </c>
      <c r="G134" s="63" t="s">
        <v>836</v>
      </c>
      <c r="H134" s="63" t="s">
        <v>860</v>
      </c>
      <c r="I134" s="63" t="s">
        <v>836</v>
      </c>
      <c r="J134" s="63" t="s">
        <v>544</v>
      </c>
      <c r="K134" s="17" t="s">
        <v>293</v>
      </c>
      <c r="L134" s="6" t="e">
        <f>(-H134+G134)/G134</f>
        <v>#VALUE!</v>
      </c>
      <c r="M134" s="18"/>
      <c r="N134" s="18"/>
    </row>
    <row r="135" spans="1:14" s="1" customFormat="1" x14ac:dyDescent="0.3">
      <c r="A135" s="11" t="s">
        <v>142</v>
      </c>
      <c r="B135" s="11" t="s">
        <v>142</v>
      </c>
      <c r="C135" s="16" t="s">
        <v>437</v>
      </c>
      <c r="D135" s="37" t="s">
        <v>143</v>
      </c>
      <c r="E135" s="62" t="s">
        <v>861</v>
      </c>
      <c r="F135" s="62">
        <v>13</v>
      </c>
      <c r="G135" s="63" t="s">
        <v>862</v>
      </c>
      <c r="H135" s="63" t="s">
        <v>863</v>
      </c>
      <c r="I135" s="63" t="s">
        <v>864</v>
      </c>
      <c r="J135" s="63" t="s">
        <v>865</v>
      </c>
      <c r="K135" s="17" t="s">
        <v>245</v>
      </c>
      <c r="L135" s="6" t="e">
        <f>(-H135+G135)/G135</f>
        <v>#VALUE!</v>
      </c>
      <c r="M135" s="18"/>
      <c r="N135" s="18"/>
    </row>
    <row r="136" spans="1:14" s="1" customFormat="1" x14ac:dyDescent="0.3">
      <c r="A136" s="11" t="s">
        <v>144</v>
      </c>
      <c r="B136" s="11" t="s">
        <v>144</v>
      </c>
      <c r="C136" s="16" t="s">
        <v>438</v>
      </c>
      <c r="D136" s="37" t="s">
        <v>143</v>
      </c>
      <c r="E136" s="62" t="s">
        <v>866</v>
      </c>
      <c r="F136" s="62">
        <v>17</v>
      </c>
      <c r="G136" s="63" t="s">
        <v>867</v>
      </c>
      <c r="H136" s="63" t="s">
        <v>868</v>
      </c>
      <c r="I136" s="63" t="s">
        <v>869</v>
      </c>
      <c r="J136" s="63" t="s">
        <v>870</v>
      </c>
      <c r="K136" s="17" t="s">
        <v>245</v>
      </c>
      <c r="L136" s="6" t="e">
        <f>(-H136+G136)/G136</f>
        <v>#VALUE!</v>
      </c>
      <c r="M136" s="18"/>
      <c r="N136" s="18"/>
    </row>
    <row r="137" spans="1:14" s="1" customFormat="1" x14ac:dyDescent="0.3">
      <c r="A137" s="11" t="s">
        <v>145</v>
      </c>
      <c r="B137" s="11" t="s">
        <v>145</v>
      </c>
      <c r="C137" s="16" t="s">
        <v>439</v>
      </c>
      <c r="D137" s="37" t="s">
        <v>143</v>
      </c>
      <c r="E137" s="62" t="s">
        <v>871</v>
      </c>
      <c r="F137" s="62">
        <v>19</v>
      </c>
      <c r="G137" s="63" t="s">
        <v>872</v>
      </c>
      <c r="H137" s="63" t="s">
        <v>873</v>
      </c>
      <c r="I137" s="63" t="s">
        <v>874</v>
      </c>
      <c r="J137" s="63" t="s">
        <v>875</v>
      </c>
      <c r="K137" s="17" t="s">
        <v>245</v>
      </c>
      <c r="L137" s="6" t="e">
        <f>(-H137+G137)/G137</f>
        <v>#VALUE!</v>
      </c>
      <c r="M137" s="18"/>
      <c r="N137" s="18"/>
    </row>
    <row r="138" spans="1:14" s="1" customFormat="1" x14ac:dyDescent="0.3">
      <c r="A138" s="11" t="s">
        <v>146</v>
      </c>
      <c r="B138" s="11" t="s">
        <v>146</v>
      </c>
      <c r="C138" s="16" t="s">
        <v>440</v>
      </c>
      <c r="D138" s="37" t="s">
        <v>143</v>
      </c>
      <c r="E138" s="62" t="s">
        <v>794</v>
      </c>
      <c r="F138" s="62">
        <v>24</v>
      </c>
      <c r="G138" s="63" t="s">
        <v>876</v>
      </c>
      <c r="H138" s="63" t="s">
        <v>573</v>
      </c>
      <c r="I138" s="63" t="s">
        <v>877</v>
      </c>
      <c r="J138" s="63">
        <v>36</v>
      </c>
      <c r="K138" s="17" t="s">
        <v>245</v>
      </c>
      <c r="L138" s="6" t="e">
        <f>(-H138+G138)/G138</f>
        <v>#VALUE!</v>
      </c>
      <c r="M138" s="18"/>
      <c r="N138" s="18"/>
    </row>
    <row r="139" spans="1:14" s="1" customFormat="1" x14ac:dyDescent="0.3">
      <c r="A139" s="11" t="s">
        <v>147</v>
      </c>
      <c r="B139" s="11" t="s">
        <v>147</v>
      </c>
      <c r="C139" s="16" t="s">
        <v>441</v>
      </c>
      <c r="D139" s="37" t="s">
        <v>143</v>
      </c>
      <c r="E139" s="62" t="s">
        <v>878</v>
      </c>
      <c r="F139" s="62">
        <v>26</v>
      </c>
      <c r="G139" s="63" t="s">
        <v>879</v>
      </c>
      <c r="H139" s="63" t="s">
        <v>880</v>
      </c>
      <c r="I139" s="63" t="s">
        <v>881</v>
      </c>
      <c r="J139" s="63">
        <v>39</v>
      </c>
      <c r="K139" s="17" t="s">
        <v>245</v>
      </c>
      <c r="L139" s="6" t="e">
        <f>(-H139+G139)/G139</f>
        <v>#VALUE!</v>
      </c>
      <c r="M139" s="18"/>
      <c r="N139" s="18"/>
    </row>
    <row r="140" spans="1:14" s="1" customFormat="1" x14ac:dyDescent="0.3">
      <c r="A140" s="11" t="s">
        <v>148</v>
      </c>
      <c r="B140" s="11" t="s">
        <v>148</v>
      </c>
      <c r="C140" s="16" t="s">
        <v>442</v>
      </c>
      <c r="D140" s="37" t="s">
        <v>143</v>
      </c>
      <c r="E140" s="62" t="s">
        <v>882</v>
      </c>
      <c r="F140" s="62">
        <v>33</v>
      </c>
      <c r="G140" s="63" t="s">
        <v>883</v>
      </c>
      <c r="H140" s="63" t="s">
        <v>813</v>
      </c>
      <c r="I140" s="63" t="s">
        <v>884</v>
      </c>
      <c r="J140" s="63" t="s">
        <v>815</v>
      </c>
      <c r="K140" s="17" t="s">
        <v>245</v>
      </c>
      <c r="L140" s="6" t="e">
        <f>(-H140+G140)/G140</f>
        <v>#VALUE!</v>
      </c>
      <c r="M140" s="18"/>
      <c r="N140" s="18"/>
    </row>
    <row r="141" spans="1:14" s="1" customFormat="1" x14ac:dyDescent="0.3">
      <c r="A141" s="11" t="s">
        <v>149</v>
      </c>
      <c r="B141" s="11" t="s">
        <v>149</v>
      </c>
      <c r="C141" s="16" t="s">
        <v>443</v>
      </c>
      <c r="D141" s="37" t="s">
        <v>143</v>
      </c>
      <c r="E141" s="62" t="s">
        <v>885</v>
      </c>
      <c r="F141" s="62">
        <v>37</v>
      </c>
      <c r="G141" s="63" t="s">
        <v>886</v>
      </c>
      <c r="H141" s="63" t="s">
        <v>887</v>
      </c>
      <c r="I141" s="63" t="s">
        <v>888</v>
      </c>
      <c r="J141" s="63" t="s">
        <v>889</v>
      </c>
      <c r="K141" s="17" t="s">
        <v>245</v>
      </c>
      <c r="L141" s="6" t="e">
        <f>(-H141+G141)/G141</f>
        <v>#VALUE!</v>
      </c>
      <c r="M141" s="18"/>
      <c r="N141" s="18"/>
    </row>
    <row r="142" spans="1:14" s="1" customFormat="1" x14ac:dyDescent="0.3">
      <c r="A142" s="11" t="s">
        <v>150</v>
      </c>
      <c r="B142" s="11" t="s">
        <v>150</v>
      </c>
      <c r="C142" s="16" t="s">
        <v>444</v>
      </c>
      <c r="D142" s="37" t="s">
        <v>143</v>
      </c>
      <c r="E142" s="62" t="s">
        <v>890</v>
      </c>
      <c r="F142" s="62">
        <v>45</v>
      </c>
      <c r="G142" s="63" t="s">
        <v>891</v>
      </c>
      <c r="H142" s="63" t="s">
        <v>815</v>
      </c>
      <c r="I142" s="63" t="s">
        <v>892</v>
      </c>
      <c r="J142" s="63" t="s">
        <v>893</v>
      </c>
      <c r="K142" s="17" t="s">
        <v>245</v>
      </c>
      <c r="L142" s="6" t="e">
        <f>(-H142+G142)/G142</f>
        <v>#VALUE!</v>
      </c>
      <c r="M142" s="18"/>
      <c r="N142" s="18"/>
    </row>
    <row r="143" spans="1:14" s="1" customFormat="1" x14ac:dyDescent="0.3">
      <c r="A143" s="11" t="s">
        <v>151</v>
      </c>
      <c r="B143" s="11" t="s">
        <v>151</v>
      </c>
      <c r="C143" s="16" t="s">
        <v>445</v>
      </c>
      <c r="D143" s="37" t="s">
        <v>24</v>
      </c>
      <c r="E143" s="62" t="s">
        <v>845</v>
      </c>
      <c r="F143" s="62" t="s">
        <v>845</v>
      </c>
      <c r="G143" s="63" t="s">
        <v>894</v>
      </c>
      <c r="H143" s="63" t="s">
        <v>895</v>
      </c>
      <c r="I143" s="63" t="s">
        <v>723</v>
      </c>
      <c r="J143" s="63" t="s">
        <v>896</v>
      </c>
      <c r="K143" s="17" t="s">
        <v>293</v>
      </c>
      <c r="L143" s="6" t="e">
        <f>(-H143+G143)/G143</f>
        <v>#VALUE!</v>
      </c>
      <c r="M143" s="18"/>
      <c r="N143" s="18"/>
    </row>
    <row r="144" spans="1:14" s="1" customFormat="1" x14ac:dyDescent="0.3">
      <c r="A144" s="11" t="s">
        <v>152</v>
      </c>
      <c r="B144" s="11" t="s">
        <v>152</v>
      </c>
      <c r="C144" s="16" t="s">
        <v>446</v>
      </c>
      <c r="D144" s="37" t="s">
        <v>24</v>
      </c>
      <c r="E144" s="62" t="s">
        <v>897</v>
      </c>
      <c r="F144" s="62" t="s">
        <v>897</v>
      </c>
      <c r="G144" s="63" t="s">
        <v>676</v>
      </c>
      <c r="H144" s="63" t="s">
        <v>898</v>
      </c>
      <c r="I144" s="63" t="s">
        <v>899</v>
      </c>
      <c r="J144" s="63" t="s">
        <v>900</v>
      </c>
      <c r="K144" s="17" t="s">
        <v>293</v>
      </c>
      <c r="L144" s="6" t="e">
        <f>(-H144+G144)/G144</f>
        <v>#VALUE!</v>
      </c>
      <c r="M144" s="18"/>
      <c r="N144" s="18"/>
    </row>
    <row r="145" spans="1:14" s="1" customFormat="1" x14ac:dyDescent="0.3">
      <c r="A145" s="11" t="s">
        <v>153</v>
      </c>
      <c r="B145" s="11" t="s">
        <v>153</v>
      </c>
      <c r="C145" s="16" t="s">
        <v>447</v>
      </c>
      <c r="D145" s="37" t="s">
        <v>24</v>
      </c>
      <c r="E145" s="62" t="s">
        <v>901</v>
      </c>
      <c r="F145" s="62" t="s">
        <v>901</v>
      </c>
      <c r="G145" s="63" t="s">
        <v>902</v>
      </c>
      <c r="H145" s="63" t="s">
        <v>903</v>
      </c>
      <c r="I145" s="63" t="s">
        <v>904</v>
      </c>
      <c r="J145" s="63" t="s">
        <v>905</v>
      </c>
      <c r="K145" s="17" t="s">
        <v>293</v>
      </c>
      <c r="L145" s="6" t="e">
        <f>(-H145+G145)/G145</f>
        <v>#VALUE!</v>
      </c>
      <c r="M145" s="18"/>
      <c r="N145" s="18"/>
    </row>
    <row r="146" spans="1:14" s="1" customFormat="1" x14ac:dyDescent="0.3">
      <c r="A146" s="11" t="s">
        <v>154</v>
      </c>
      <c r="B146" s="11" t="s">
        <v>154</v>
      </c>
      <c r="C146" s="16" t="s">
        <v>448</v>
      </c>
      <c r="D146" s="37" t="s">
        <v>143</v>
      </c>
      <c r="E146" s="62" t="s">
        <v>906</v>
      </c>
      <c r="F146" s="62" t="s">
        <v>906</v>
      </c>
      <c r="G146" s="63" t="s">
        <v>907</v>
      </c>
      <c r="H146" s="63" t="s">
        <v>908</v>
      </c>
      <c r="I146" s="63" t="s">
        <v>909</v>
      </c>
      <c r="J146" s="63" t="s">
        <v>910</v>
      </c>
      <c r="K146" s="17" t="s">
        <v>293</v>
      </c>
      <c r="L146" s="6" t="e">
        <f>(-H146+G146)/G146</f>
        <v>#VALUE!</v>
      </c>
      <c r="M146" s="18"/>
      <c r="N146" s="18"/>
    </row>
    <row r="147" spans="1:14" s="1" customFormat="1" x14ac:dyDescent="0.3">
      <c r="A147" s="11" t="s">
        <v>155</v>
      </c>
      <c r="B147" s="11" t="s">
        <v>155</v>
      </c>
      <c r="C147" s="16" t="s">
        <v>449</v>
      </c>
      <c r="D147" s="37" t="s">
        <v>143</v>
      </c>
      <c r="E147" s="62" t="s">
        <v>911</v>
      </c>
      <c r="F147" s="62" t="s">
        <v>911</v>
      </c>
      <c r="G147" s="63" t="s">
        <v>912</v>
      </c>
      <c r="H147" s="63" t="s">
        <v>913</v>
      </c>
      <c r="I147" s="63" t="s">
        <v>914</v>
      </c>
      <c r="J147" s="63" t="s">
        <v>915</v>
      </c>
      <c r="K147" s="17" t="s">
        <v>293</v>
      </c>
      <c r="L147" s="6" t="e">
        <f>(-H147+G147)/G147</f>
        <v>#VALUE!</v>
      </c>
      <c r="M147" s="18"/>
      <c r="N147" s="18"/>
    </row>
    <row r="148" spans="1:14" s="1" customFormat="1" x14ac:dyDescent="0.3">
      <c r="A148" s="11" t="s">
        <v>156</v>
      </c>
      <c r="B148" s="11" t="s">
        <v>156</v>
      </c>
      <c r="C148" s="16" t="s">
        <v>450</v>
      </c>
      <c r="D148" s="37" t="s">
        <v>143</v>
      </c>
      <c r="E148" s="62" t="s">
        <v>916</v>
      </c>
      <c r="F148" s="62" t="s">
        <v>916</v>
      </c>
      <c r="G148" s="63" t="s">
        <v>917</v>
      </c>
      <c r="H148" s="63" t="s">
        <v>918</v>
      </c>
      <c r="I148" s="63" t="s">
        <v>919</v>
      </c>
      <c r="J148" s="63" t="s">
        <v>920</v>
      </c>
      <c r="K148" s="17" t="s">
        <v>293</v>
      </c>
      <c r="L148" s="6" t="e">
        <f>(-H148+G148)/G148</f>
        <v>#VALUE!</v>
      </c>
      <c r="M148" s="18"/>
      <c r="N148" s="18"/>
    </row>
    <row r="149" spans="1:14" s="1" customFormat="1" x14ac:dyDescent="0.3">
      <c r="A149" s="11" t="s">
        <v>157</v>
      </c>
      <c r="B149" s="11" t="s">
        <v>157</v>
      </c>
      <c r="C149" s="16" t="s">
        <v>451</v>
      </c>
      <c r="D149" s="37" t="s">
        <v>143</v>
      </c>
      <c r="E149" s="62" t="s">
        <v>921</v>
      </c>
      <c r="F149" s="62" t="s">
        <v>921</v>
      </c>
      <c r="G149" s="63" t="s">
        <v>922</v>
      </c>
      <c r="H149" s="63" t="s">
        <v>923</v>
      </c>
      <c r="I149" s="63" t="s">
        <v>924</v>
      </c>
      <c r="J149" s="63" t="s">
        <v>925</v>
      </c>
      <c r="K149" s="17" t="s">
        <v>293</v>
      </c>
      <c r="L149" s="6" t="e">
        <f>(-H149+G149)/G149</f>
        <v>#VALUE!</v>
      </c>
      <c r="M149" s="18"/>
      <c r="N149" s="18"/>
    </row>
    <row r="150" spans="1:14" s="1" customFormat="1" x14ac:dyDescent="0.3">
      <c r="A150" s="11" t="s">
        <v>158</v>
      </c>
      <c r="B150" s="11" t="s">
        <v>158</v>
      </c>
      <c r="C150" s="16" t="s">
        <v>452</v>
      </c>
      <c r="D150" s="37" t="s">
        <v>143</v>
      </c>
      <c r="E150" s="62" t="s">
        <v>926</v>
      </c>
      <c r="F150" s="62" t="s">
        <v>926</v>
      </c>
      <c r="G150" s="63" t="s">
        <v>927</v>
      </c>
      <c r="H150" s="63" t="s">
        <v>928</v>
      </c>
      <c r="I150" s="63" t="s">
        <v>929</v>
      </c>
      <c r="J150" s="63" t="s">
        <v>930</v>
      </c>
      <c r="K150" s="17" t="s">
        <v>293</v>
      </c>
      <c r="L150" s="6" t="e">
        <f>(-H150+G150)/G150</f>
        <v>#VALUE!</v>
      </c>
      <c r="M150" s="18"/>
      <c r="N150" s="18"/>
    </row>
    <row r="151" spans="1:14" s="1" customFormat="1" x14ac:dyDescent="0.3">
      <c r="A151" s="11" t="s">
        <v>159</v>
      </c>
      <c r="B151" s="11" t="s">
        <v>159</v>
      </c>
      <c r="C151" s="16" t="s">
        <v>453</v>
      </c>
      <c r="D151" s="37" t="s">
        <v>143</v>
      </c>
      <c r="E151" s="62" t="s">
        <v>931</v>
      </c>
      <c r="F151" s="62" t="s">
        <v>931</v>
      </c>
      <c r="G151" s="63" t="s">
        <v>932</v>
      </c>
      <c r="H151" s="63" t="s">
        <v>933</v>
      </c>
      <c r="I151" s="63" t="s">
        <v>934</v>
      </c>
      <c r="J151" s="63" t="s">
        <v>935</v>
      </c>
      <c r="K151" s="17" t="s">
        <v>293</v>
      </c>
      <c r="L151" s="6" t="e">
        <f>(-H151+G151)/G151</f>
        <v>#VALUE!</v>
      </c>
      <c r="M151" s="18"/>
      <c r="N151" s="18"/>
    </row>
    <row r="152" spans="1:14" s="1" customFormat="1" x14ac:dyDescent="0.3">
      <c r="A152" s="11" t="s">
        <v>160</v>
      </c>
      <c r="B152" s="11" t="s">
        <v>160</v>
      </c>
      <c r="C152" s="16" t="s">
        <v>454</v>
      </c>
      <c r="D152" s="37" t="s">
        <v>24</v>
      </c>
      <c r="E152" s="62" t="s">
        <v>632</v>
      </c>
      <c r="F152" s="62" t="s">
        <v>632</v>
      </c>
      <c r="G152" s="63" t="s">
        <v>636</v>
      </c>
      <c r="H152" s="63" t="s">
        <v>748</v>
      </c>
      <c r="I152" s="63" t="s">
        <v>936</v>
      </c>
      <c r="J152" s="63" t="s">
        <v>937</v>
      </c>
      <c r="K152" s="17" t="s">
        <v>293</v>
      </c>
      <c r="L152" s="6" t="e">
        <f>(-H152+G152)/G152</f>
        <v>#VALUE!</v>
      </c>
      <c r="M152" s="18"/>
      <c r="N152" s="18"/>
    </row>
    <row r="153" spans="1:14" s="1" customFormat="1" x14ac:dyDescent="0.3">
      <c r="A153" s="11" t="s">
        <v>161</v>
      </c>
      <c r="B153" s="11" t="s">
        <v>161</v>
      </c>
      <c r="C153" s="16" t="s">
        <v>455</v>
      </c>
      <c r="D153" s="37" t="s">
        <v>24</v>
      </c>
      <c r="E153" s="62" t="s">
        <v>938</v>
      </c>
      <c r="F153" s="62">
        <v>20</v>
      </c>
      <c r="G153" s="63" t="s">
        <v>939</v>
      </c>
      <c r="H153" s="63">
        <v>22</v>
      </c>
      <c r="I153" s="63" t="s">
        <v>940</v>
      </c>
      <c r="J153" s="63">
        <v>30</v>
      </c>
      <c r="K153" s="17" t="s">
        <v>245</v>
      </c>
      <c r="L153" s="6" t="e">
        <f>(-H153+G153)/G153</f>
        <v>#VALUE!</v>
      </c>
      <c r="M153" s="18"/>
      <c r="N153" s="18"/>
    </row>
    <row r="154" spans="1:14" s="1" customFormat="1" x14ac:dyDescent="0.3">
      <c r="A154" s="11" t="s">
        <v>162</v>
      </c>
      <c r="B154" s="11" t="s">
        <v>162</v>
      </c>
      <c r="C154" s="16" t="s">
        <v>456</v>
      </c>
      <c r="D154" s="37" t="s">
        <v>35</v>
      </c>
      <c r="E154" s="62" t="s">
        <v>941</v>
      </c>
      <c r="F154" s="62">
        <v>10</v>
      </c>
      <c r="G154" s="63" t="s">
        <v>942</v>
      </c>
      <c r="H154" s="63">
        <v>11</v>
      </c>
      <c r="I154" s="63" t="s">
        <v>943</v>
      </c>
      <c r="J154" s="63">
        <v>15</v>
      </c>
      <c r="K154" s="17" t="s">
        <v>294</v>
      </c>
      <c r="L154" s="6" t="e">
        <f>(-H154+G154)/G154</f>
        <v>#VALUE!</v>
      </c>
      <c r="M154" s="18"/>
      <c r="N154" s="18"/>
    </row>
    <row r="155" spans="1:14" s="1" customFormat="1" x14ac:dyDescent="0.3">
      <c r="A155" s="11" t="s">
        <v>163</v>
      </c>
      <c r="B155" s="11" t="s">
        <v>163</v>
      </c>
      <c r="C155" s="16" t="s">
        <v>457</v>
      </c>
      <c r="D155" s="37" t="s">
        <v>35</v>
      </c>
      <c r="E155" s="62" t="s">
        <v>941</v>
      </c>
      <c r="F155" s="62">
        <v>12</v>
      </c>
      <c r="G155" s="63" t="s">
        <v>942</v>
      </c>
      <c r="H155" s="63" t="s">
        <v>944</v>
      </c>
      <c r="I155" s="63" t="s">
        <v>943</v>
      </c>
      <c r="J155" s="63">
        <v>18</v>
      </c>
      <c r="K155" s="17" t="s">
        <v>295</v>
      </c>
      <c r="L155" s="6" t="e">
        <f>(-H155+G155)/G155</f>
        <v>#VALUE!</v>
      </c>
      <c r="M155" s="18"/>
      <c r="N155" s="18"/>
    </row>
    <row r="156" spans="1:14" s="1" customFormat="1" x14ac:dyDescent="0.3">
      <c r="A156" s="11" t="s">
        <v>164</v>
      </c>
      <c r="B156" s="11" t="s">
        <v>164</v>
      </c>
      <c r="C156" s="16" t="s">
        <v>458</v>
      </c>
      <c r="D156" s="37" t="s">
        <v>35</v>
      </c>
      <c r="E156" s="62" t="s">
        <v>941</v>
      </c>
      <c r="F156" s="62">
        <v>12</v>
      </c>
      <c r="G156" s="63" t="s">
        <v>942</v>
      </c>
      <c r="H156" s="63" t="s">
        <v>944</v>
      </c>
      <c r="I156" s="63" t="s">
        <v>943</v>
      </c>
      <c r="J156" s="63">
        <v>18</v>
      </c>
      <c r="K156" s="17" t="s">
        <v>296</v>
      </c>
      <c r="L156" s="6" t="e">
        <f>(-H156+G156)/G156</f>
        <v>#VALUE!</v>
      </c>
      <c r="M156" s="18"/>
      <c r="N156" s="18"/>
    </row>
    <row r="157" spans="1:14" s="1" customFormat="1" x14ac:dyDescent="0.3">
      <c r="A157" s="11" t="s">
        <v>165</v>
      </c>
      <c r="B157" s="11" t="s">
        <v>165</v>
      </c>
      <c r="C157" s="16" t="s">
        <v>459</v>
      </c>
      <c r="D157" s="37" t="s">
        <v>35</v>
      </c>
      <c r="E157" s="62" t="s">
        <v>941</v>
      </c>
      <c r="F157" s="62">
        <v>10</v>
      </c>
      <c r="G157" s="63" t="s">
        <v>942</v>
      </c>
      <c r="H157" s="63">
        <v>11</v>
      </c>
      <c r="I157" s="63" t="s">
        <v>943</v>
      </c>
      <c r="J157" s="63">
        <v>15</v>
      </c>
      <c r="K157" s="17" t="s">
        <v>294</v>
      </c>
      <c r="L157" s="6" t="e">
        <f>(-H157+G157)/G157</f>
        <v>#VALUE!</v>
      </c>
      <c r="M157" s="18"/>
      <c r="N157" s="18"/>
    </row>
    <row r="158" spans="1:14" s="1" customFormat="1" x14ac:dyDescent="0.3">
      <c r="A158" s="11" t="s">
        <v>166</v>
      </c>
      <c r="B158" s="11" t="s">
        <v>166</v>
      </c>
      <c r="C158" s="16" t="s">
        <v>460</v>
      </c>
      <c r="D158" s="37" t="s">
        <v>35</v>
      </c>
      <c r="E158" s="62" t="s">
        <v>945</v>
      </c>
      <c r="F158" s="62">
        <v>6</v>
      </c>
      <c r="G158" s="63" t="s">
        <v>946</v>
      </c>
      <c r="H158" s="63" t="s">
        <v>947</v>
      </c>
      <c r="I158" s="63" t="s">
        <v>948</v>
      </c>
      <c r="J158" s="63">
        <v>9</v>
      </c>
      <c r="K158" s="17" t="s">
        <v>297</v>
      </c>
      <c r="L158" s="6" t="e">
        <f>(-H158+G158)/G158</f>
        <v>#VALUE!</v>
      </c>
      <c r="M158" s="18"/>
      <c r="N158" s="18"/>
    </row>
    <row r="159" spans="1:14" s="1" customFormat="1" x14ac:dyDescent="0.3">
      <c r="A159" s="11" t="s">
        <v>167</v>
      </c>
      <c r="B159" s="11" t="s">
        <v>167</v>
      </c>
      <c r="C159" s="16" t="s">
        <v>461</v>
      </c>
      <c r="D159" s="37" t="s">
        <v>35</v>
      </c>
      <c r="E159" s="62" t="s">
        <v>945</v>
      </c>
      <c r="F159" s="62">
        <v>6</v>
      </c>
      <c r="G159" s="63" t="s">
        <v>946</v>
      </c>
      <c r="H159" s="63" t="s">
        <v>947</v>
      </c>
      <c r="I159" s="63" t="s">
        <v>948</v>
      </c>
      <c r="J159" s="63">
        <v>9</v>
      </c>
      <c r="K159" s="17" t="s">
        <v>297</v>
      </c>
      <c r="L159" s="6" t="e">
        <f>(-H159+G159)/G159</f>
        <v>#VALUE!</v>
      </c>
      <c r="M159" s="18"/>
      <c r="N159" s="18"/>
    </row>
    <row r="160" spans="1:14" s="1" customFormat="1" x14ac:dyDescent="0.3">
      <c r="A160" s="11" t="s">
        <v>168</v>
      </c>
      <c r="B160" s="11" t="s">
        <v>168</v>
      </c>
      <c r="C160" s="16" t="s">
        <v>462</v>
      </c>
      <c r="D160" s="37" t="s">
        <v>24</v>
      </c>
      <c r="E160" s="62">
        <v>4</v>
      </c>
      <c r="F160" s="62">
        <v>4</v>
      </c>
      <c r="G160" s="63" t="s">
        <v>937</v>
      </c>
      <c r="H160" s="63" t="s">
        <v>949</v>
      </c>
      <c r="I160" s="63" t="s">
        <v>950</v>
      </c>
      <c r="J160" s="63">
        <v>6</v>
      </c>
      <c r="K160" s="17" t="s">
        <v>298</v>
      </c>
      <c r="L160" s="6" t="e">
        <f>(-H160+G160)/G160</f>
        <v>#VALUE!</v>
      </c>
      <c r="M160" s="18"/>
      <c r="N160" s="18"/>
    </row>
    <row r="161" spans="1:14" s="1" customFormat="1" x14ac:dyDescent="0.3">
      <c r="A161" s="11" t="s">
        <v>169</v>
      </c>
      <c r="B161" s="11" t="s">
        <v>169</v>
      </c>
      <c r="C161" s="16" t="s">
        <v>463</v>
      </c>
      <c r="D161" s="37" t="s">
        <v>35</v>
      </c>
      <c r="E161" s="62" t="s">
        <v>951</v>
      </c>
      <c r="F161" s="62" t="s">
        <v>1086</v>
      </c>
      <c r="G161" s="63" t="s">
        <v>661</v>
      </c>
      <c r="H161" s="63" t="s">
        <v>634</v>
      </c>
      <c r="I161" s="63" t="s">
        <v>749</v>
      </c>
      <c r="J161" s="63" t="s">
        <v>952</v>
      </c>
      <c r="K161" s="17" t="s">
        <v>299</v>
      </c>
      <c r="L161" s="6" t="e">
        <f>(-H161+G161)/G161</f>
        <v>#VALUE!</v>
      </c>
      <c r="M161" s="18"/>
      <c r="N161" s="18"/>
    </row>
    <row r="162" spans="1:14" s="1" customFormat="1" x14ac:dyDescent="0.3">
      <c r="A162" s="11" t="s">
        <v>170</v>
      </c>
      <c r="B162" s="11" t="s">
        <v>170</v>
      </c>
      <c r="C162" s="16" t="s">
        <v>464</v>
      </c>
      <c r="D162" s="37" t="s">
        <v>15</v>
      </c>
      <c r="E162" s="62">
        <v>3</v>
      </c>
      <c r="F162" s="62">
        <v>3</v>
      </c>
      <c r="G162" s="63" t="s">
        <v>625</v>
      </c>
      <c r="H162" s="63" t="s">
        <v>626</v>
      </c>
      <c r="I162" s="63" t="s">
        <v>627</v>
      </c>
      <c r="J162" s="63" t="s">
        <v>628</v>
      </c>
      <c r="K162" s="17" t="s">
        <v>300</v>
      </c>
      <c r="L162" s="6" t="e">
        <f>(-H162+G162)/G162</f>
        <v>#VALUE!</v>
      </c>
      <c r="M162" s="18"/>
      <c r="N162" s="18"/>
    </row>
    <row r="163" spans="1:14" s="1" customFormat="1" x14ac:dyDescent="0.3">
      <c r="A163" s="11" t="s">
        <v>171</v>
      </c>
      <c r="B163" s="11" t="s">
        <v>171</v>
      </c>
      <c r="C163" s="16" t="s">
        <v>465</v>
      </c>
      <c r="D163" s="37" t="s">
        <v>24</v>
      </c>
      <c r="E163" s="62" t="s">
        <v>544</v>
      </c>
      <c r="F163" s="62" t="s">
        <v>544</v>
      </c>
      <c r="G163" s="63" t="s">
        <v>545</v>
      </c>
      <c r="H163" s="63" t="s">
        <v>546</v>
      </c>
      <c r="I163" s="63" t="s">
        <v>545</v>
      </c>
      <c r="J163" s="63" t="s">
        <v>547</v>
      </c>
      <c r="K163" s="17" t="s">
        <v>293</v>
      </c>
      <c r="L163" s="6" t="e">
        <f>(-H163+G163)/G163</f>
        <v>#VALUE!</v>
      </c>
      <c r="M163" s="18"/>
      <c r="N163" s="18"/>
    </row>
    <row r="164" spans="1:14" s="1" customFormat="1" x14ac:dyDescent="0.3">
      <c r="A164" s="11" t="s">
        <v>172</v>
      </c>
      <c r="B164" s="11" t="s">
        <v>172</v>
      </c>
      <c r="C164" s="16" t="s">
        <v>466</v>
      </c>
      <c r="D164" s="37" t="s">
        <v>35</v>
      </c>
      <c r="E164" s="62" t="s">
        <v>601</v>
      </c>
      <c r="F164" s="62" t="s">
        <v>769</v>
      </c>
      <c r="G164" s="63" t="s">
        <v>953</v>
      </c>
      <c r="H164" s="63" t="s">
        <v>954</v>
      </c>
      <c r="I164" s="63" t="s">
        <v>955</v>
      </c>
      <c r="J164" s="63" t="s">
        <v>956</v>
      </c>
      <c r="K164" s="17" t="s">
        <v>301</v>
      </c>
      <c r="L164" s="6" t="e">
        <f>(-H164+G164)/G164</f>
        <v>#VALUE!</v>
      </c>
      <c r="M164" s="18"/>
      <c r="N164" s="18"/>
    </row>
    <row r="165" spans="1:14" s="1" customFormat="1" x14ac:dyDescent="0.3">
      <c r="A165" s="11" t="s">
        <v>173</v>
      </c>
      <c r="B165" s="11" t="s">
        <v>173</v>
      </c>
      <c r="C165" s="16" t="s">
        <v>467</v>
      </c>
      <c r="D165" s="37" t="s">
        <v>35</v>
      </c>
      <c r="E165" s="62" t="s">
        <v>1087</v>
      </c>
      <c r="F165" s="62" t="s">
        <v>1088</v>
      </c>
      <c r="G165" s="63" t="s">
        <v>957</v>
      </c>
      <c r="H165" s="63" t="s">
        <v>958</v>
      </c>
      <c r="I165" s="63" t="s">
        <v>959</v>
      </c>
      <c r="J165" s="63" t="s">
        <v>960</v>
      </c>
      <c r="K165" s="17" t="s">
        <v>302</v>
      </c>
      <c r="L165" s="6" t="e">
        <f>(-H165+G165)/G165</f>
        <v>#VALUE!</v>
      </c>
      <c r="M165" s="18"/>
      <c r="N165" s="18"/>
    </row>
    <row r="166" spans="1:14" s="1" customFormat="1" x14ac:dyDescent="0.3">
      <c r="A166" s="11" t="s">
        <v>174</v>
      </c>
      <c r="B166" s="11" t="s">
        <v>174</v>
      </c>
      <c r="C166" s="16" t="s">
        <v>468</v>
      </c>
      <c r="D166" s="37" t="s">
        <v>15</v>
      </c>
      <c r="E166" s="62" t="s">
        <v>525</v>
      </c>
      <c r="F166" s="62" t="s">
        <v>525</v>
      </c>
      <c r="G166" s="63" t="s">
        <v>961</v>
      </c>
      <c r="H166" s="63" t="s">
        <v>962</v>
      </c>
      <c r="I166" s="63" t="s">
        <v>963</v>
      </c>
      <c r="J166" s="63" t="s">
        <v>629</v>
      </c>
      <c r="K166" s="17" t="s">
        <v>238</v>
      </c>
      <c r="L166" s="6" t="e">
        <f>(-H166+G166)/G166</f>
        <v>#VALUE!</v>
      </c>
      <c r="M166" s="18"/>
      <c r="N166" s="18"/>
    </row>
    <row r="167" spans="1:14" s="1" customFormat="1" x14ac:dyDescent="0.3">
      <c r="A167" s="11" t="s">
        <v>175</v>
      </c>
      <c r="B167" s="11" t="s">
        <v>175</v>
      </c>
      <c r="C167" s="16" t="s">
        <v>469</v>
      </c>
      <c r="D167" s="37" t="s">
        <v>176</v>
      </c>
      <c r="E167" s="62" t="s">
        <v>964</v>
      </c>
      <c r="F167" s="62" t="s">
        <v>964</v>
      </c>
      <c r="G167" s="63" t="s">
        <v>965</v>
      </c>
      <c r="H167" s="63" t="s">
        <v>966</v>
      </c>
      <c r="I167" s="63" t="s">
        <v>967</v>
      </c>
      <c r="J167" s="63" t="s">
        <v>968</v>
      </c>
      <c r="K167" s="17" t="s">
        <v>238</v>
      </c>
      <c r="L167" s="6" t="e">
        <f>(-H167+G167)/G167</f>
        <v>#VALUE!</v>
      </c>
      <c r="M167" s="18"/>
      <c r="N167" s="18"/>
    </row>
    <row r="168" spans="1:14" s="1" customFormat="1" x14ac:dyDescent="0.3">
      <c r="A168" s="11" t="s">
        <v>177</v>
      </c>
      <c r="B168" s="11" t="s">
        <v>177</v>
      </c>
      <c r="C168" s="16" t="s">
        <v>470</v>
      </c>
      <c r="D168" s="37" t="s">
        <v>24</v>
      </c>
      <c r="E168" s="62" t="s">
        <v>969</v>
      </c>
      <c r="F168" s="62">
        <v>9</v>
      </c>
      <c r="G168" s="63" t="s">
        <v>970</v>
      </c>
      <c r="H168" s="63" t="s">
        <v>971</v>
      </c>
      <c r="I168" s="63" t="s">
        <v>972</v>
      </c>
      <c r="J168" s="63" t="s">
        <v>973</v>
      </c>
      <c r="K168" s="17" t="s">
        <v>303</v>
      </c>
      <c r="L168" s="6" t="e">
        <f>(-H168+G168)/G168</f>
        <v>#VALUE!</v>
      </c>
      <c r="M168" s="18"/>
      <c r="N168" s="18"/>
    </row>
    <row r="169" spans="1:14" s="1" customFormat="1" x14ac:dyDescent="0.3">
      <c r="A169" s="11" t="s">
        <v>178</v>
      </c>
      <c r="B169" s="11" t="s">
        <v>178</v>
      </c>
      <c r="C169" s="16" t="s">
        <v>471</v>
      </c>
      <c r="D169" s="37" t="s">
        <v>24</v>
      </c>
      <c r="E169" s="62">
        <v>2</v>
      </c>
      <c r="F169" s="62" t="s">
        <v>845</v>
      </c>
      <c r="G169" s="63" t="s">
        <v>974</v>
      </c>
      <c r="H169" s="63" t="s">
        <v>895</v>
      </c>
      <c r="I169" s="63" t="s">
        <v>975</v>
      </c>
      <c r="J169" s="63" t="s">
        <v>896</v>
      </c>
      <c r="K169" s="17" t="s">
        <v>278</v>
      </c>
      <c r="L169" s="6" t="e">
        <f>(-H169+G169)/G169</f>
        <v>#VALUE!</v>
      </c>
      <c r="M169" s="18"/>
      <c r="N169" s="18"/>
    </row>
    <row r="170" spans="1:14" s="1" customFormat="1" x14ac:dyDescent="0.3">
      <c r="A170" s="11" t="s">
        <v>179</v>
      </c>
      <c r="B170" s="11" t="s">
        <v>179</v>
      </c>
      <c r="C170" s="16" t="s">
        <v>472</v>
      </c>
      <c r="D170" s="37" t="s">
        <v>24</v>
      </c>
      <c r="E170" s="62">
        <v>12</v>
      </c>
      <c r="F170" s="62">
        <v>12</v>
      </c>
      <c r="G170" s="63" t="s">
        <v>976</v>
      </c>
      <c r="H170" s="63" t="s">
        <v>944</v>
      </c>
      <c r="I170" s="63" t="s">
        <v>863</v>
      </c>
      <c r="J170" s="63">
        <v>18</v>
      </c>
      <c r="K170" s="17" t="s">
        <v>278</v>
      </c>
      <c r="L170" s="6" t="e">
        <f>(-H170+G170)/G170</f>
        <v>#VALUE!</v>
      </c>
      <c r="M170" s="18"/>
      <c r="N170" s="18"/>
    </row>
    <row r="171" spans="1:14" s="1" customFormat="1" x14ac:dyDescent="0.3">
      <c r="A171" s="11" t="s">
        <v>180</v>
      </c>
      <c r="B171" s="11" t="s">
        <v>180</v>
      </c>
      <c r="C171" s="25" t="s">
        <v>473</v>
      </c>
      <c r="D171" s="37" t="s">
        <v>24</v>
      </c>
      <c r="E171" s="62">
        <v>3</v>
      </c>
      <c r="F171" s="62">
        <v>3</v>
      </c>
      <c r="G171" s="63" t="s">
        <v>625</v>
      </c>
      <c r="H171" s="63" t="s">
        <v>626</v>
      </c>
      <c r="I171" s="63" t="s">
        <v>627</v>
      </c>
      <c r="J171" s="63" t="s">
        <v>628</v>
      </c>
      <c r="K171" s="17" t="s">
        <v>278</v>
      </c>
      <c r="L171" s="6" t="e">
        <f>(-H171+G171)/G171</f>
        <v>#VALUE!</v>
      </c>
      <c r="M171" s="18"/>
      <c r="N171" s="18"/>
    </row>
    <row r="172" spans="1:14" s="1" customFormat="1" x14ac:dyDescent="0.3">
      <c r="A172" s="11" t="s">
        <v>181</v>
      </c>
      <c r="B172" s="11" t="s">
        <v>181</v>
      </c>
      <c r="C172" s="25" t="s">
        <v>474</v>
      </c>
      <c r="D172" s="37" t="s">
        <v>24</v>
      </c>
      <c r="E172" s="62">
        <v>1</v>
      </c>
      <c r="F172" s="62">
        <v>1</v>
      </c>
      <c r="G172" s="63" t="s">
        <v>977</v>
      </c>
      <c r="H172" s="63" t="s">
        <v>978</v>
      </c>
      <c r="I172" s="63" t="s">
        <v>843</v>
      </c>
      <c r="J172" s="63" t="s">
        <v>897</v>
      </c>
      <c r="K172" s="17" t="s">
        <v>278</v>
      </c>
      <c r="L172" s="6" t="e">
        <f>(-H172+G172)/G172</f>
        <v>#VALUE!</v>
      </c>
      <c r="M172" s="18"/>
      <c r="N172" s="18"/>
    </row>
    <row r="173" spans="1:14" s="1" customFormat="1" x14ac:dyDescent="0.3">
      <c r="A173" s="11" t="s">
        <v>182</v>
      </c>
      <c r="B173" s="11" t="s">
        <v>182</v>
      </c>
      <c r="C173" s="25" t="s">
        <v>475</v>
      </c>
      <c r="D173" s="37" t="s">
        <v>35</v>
      </c>
      <c r="E173" s="62" t="s">
        <v>938</v>
      </c>
      <c r="F173" s="62">
        <v>20</v>
      </c>
      <c r="G173" s="63" t="s">
        <v>939</v>
      </c>
      <c r="H173" s="63">
        <v>22</v>
      </c>
      <c r="I173" s="63" t="s">
        <v>940</v>
      </c>
      <c r="J173" s="63">
        <v>30</v>
      </c>
      <c r="K173" s="17" t="s">
        <v>304</v>
      </c>
      <c r="L173" s="6" t="e">
        <f>(-H173+G173)/G173</f>
        <v>#VALUE!</v>
      </c>
      <c r="M173" s="18"/>
      <c r="N173" s="18"/>
    </row>
    <row r="174" spans="1:14" s="1" customFormat="1" x14ac:dyDescent="0.3">
      <c r="A174" s="11" t="s">
        <v>183</v>
      </c>
      <c r="B174" s="11" t="s">
        <v>183</v>
      </c>
      <c r="C174" s="25" t="s">
        <v>476</v>
      </c>
      <c r="D174" s="37" t="s">
        <v>35</v>
      </c>
      <c r="E174" s="62" t="s">
        <v>979</v>
      </c>
      <c r="F174" s="62">
        <v>30</v>
      </c>
      <c r="G174" s="63" t="s">
        <v>980</v>
      </c>
      <c r="H174" s="63">
        <v>33</v>
      </c>
      <c r="I174" s="63" t="s">
        <v>981</v>
      </c>
      <c r="J174" s="63">
        <v>45</v>
      </c>
      <c r="K174" s="17" t="s">
        <v>305</v>
      </c>
      <c r="L174" s="6" t="e">
        <f>(-H174+G174)/G174</f>
        <v>#VALUE!</v>
      </c>
      <c r="M174" s="18"/>
      <c r="N174" s="18"/>
    </row>
    <row r="175" spans="1:14" s="1" customFormat="1" x14ac:dyDescent="0.3">
      <c r="A175" s="11" t="s">
        <v>184</v>
      </c>
      <c r="B175" s="11" t="s">
        <v>184</v>
      </c>
      <c r="C175" s="25" t="s">
        <v>477</v>
      </c>
      <c r="D175" s="37" t="s">
        <v>35</v>
      </c>
      <c r="E175" s="62" t="s">
        <v>982</v>
      </c>
      <c r="F175" s="62">
        <v>15</v>
      </c>
      <c r="G175" s="63" t="s">
        <v>983</v>
      </c>
      <c r="H175" s="63" t="s">
        <v>984</v>
      </c>
      <c r="I175" s="63" t="s">
        <v>985</v>
      </c>
      <c r="J175" s="63" t="s">
        <v>986</v>
      </c>
      <c r="K175" s="17" t="s">
        <v>306</v>
      </c>
      <c r="L175" s="6" t="e">
        <f>(-H175+G175)/G175</f>
        <v>#VALUE!</v>
      </c>
      <c r="M175" s="18"/>
      <c r="N175" s="18"/>
    </row>
    <row r="176" spans="1:14" s="1" customFormat="1" x14ac:dyDescent="0.3">
      <c r="A176" s="11" t="s">
        <v>185</v>
      </c>
      <c r="B176" s="11" t="s">
        <v>185</v>
      </c>
      <c r="C176" s="25" t="s">
        <v>478</v>
      </c>
      <c r="D176" s="37" t="s">
        <v>35</v>
      </c>
      <c r="E176" s="62" t="s">
        <v>938</v>
      </c>
      <c r="F176" s="62">
        <v>20</v>
      </c>
      <c r="G176" s="63" t="s">
        <v>939</v>
      </c>
      <c r="H176" s="63">
        <v>22</v>
      </c>
      <c r="I176" s="63" t="s">
        <v>940</v>
      </c>
      <c r="J176" s="63">
        <v>30</v>
      </c>
      <c r="K176" s="17" t="s">
        <v>307</v>
      </c>
      <c r="L176" s="6" t="e">
        <f>(-H176+G176)/G176</f>
        <v>#VALUE!</v>
      </c>
      <c r="M176" s="18"/>
      <c r="N176" s="18"/>
    </row>
    <row r="177" spans="1:14" s="1" customFormat="1" x14ac:dyDescent="0.3">
      <c r="A177" s="11" t="s">
        <v>186</v>
      </c>
      <c r="B177" s="11" t="s">
        <v>186</v>
      </c>
      <c r="C177" s="25" t="s">
        <v>479</v>
      </c>
      <c r="D177" s="37" t="s">
        <v>35</v>
      </c>
      <c r="E177" s="62" t="s">
        <v>987</v>
      </c>
      <c r="F177" s="62">
        <v>14</v>
      </c>
      <c r="G177" s="63" t="s">
        <v>988</v>
      </c>
      <c r="H177" s="63" t="s">
        <v>989</v>
      </c>
      <c r="I177" s="63" t="s">
        <v>990</v>
      </c>
      <c r="J177" s="63">
        <v>21</v>
      </c>
      <c r="K177" s="17" t="s">
        <v>308</v>
      </c>
      <c r="L177" s="6" t="e">
        <f>(-H177+G177)/G177</f>
        <v>#VALUE!</v>
      </c>
      <c r="M177" s="18"/>
      <c r="N177" s="18"/>
    </row>
    <row r="178" spans="1:14" s="26" customFormat="1" x14ac:dyDescent="0.3">
      <c r="A178" s="11" t="s">
        <v>187</v>
      </c>
      <c r="B178" s="11" t="s">
        <v>187</v>
      </c>
      <c r="C178" s="43" t="s">
        <v>480</v>
      </c>
      <c r="D178" s="37" t="s">
        <v>24</v>
      </c>
      <c r="E178" s="62" t="s">
        <v>991</v>
      </c>
      <c r="F178" s="62">
        <v>7</v>
      </c>
      <c r="G178" s="63" t="s">
        <v>992</v>
      </c>
      <c r="H178" s="63" t="s">
        <v>993</v>
      </c>
      <c r="I178" s="63" t="s">
        <v>994</v>
      </c>
      <c r="J178" s="63" t="s">
        <v>995</v>
      </c>
      <c r="K178" s="17" t="s">
        <v>278</v>
      </c>
      <c r="L178" s="6" t="e">
        <f>(-H178+G178)/G178</f>
        <v>#VALUE!</v>
      </c>
      <c r="M178" s="18"/>
      <c r="N178" s="18"/>
    </row>
    <row r="179" spans="1:14" s="26" customFormat="1" x14ac:dyDescent="0.3">
      <c r="A179" s="11" t="s">
        <v>188</v>
      </c>
      <c r="B179" s="11" t="s">
        <v>188</v>
      </c>
      <c r="C179" s="44" t="s">
        <v>189</v>
      </c>
      <c r="D179" s="37" t="s">
        <v>35</v>
      </c>
      <c r="E179" s="62" t="s">
        <v>996</v>
      </c>
      <c r="F179" s="62" t="s">
        <v>996</v>
      </c>
      <c r="G179" s="63" t="s">
        <v>997</v>
      </c>
      <c r="H179" s="63" t="s">
        <v>998</v>
      </c>
      <c r="I179" s="63" t="s">
        <v>999</v>
      </c>
      <c r="J179" s="63" t="s">
        <v>1000</v>
      </c>
      <c r="K179" s="23" t="s">
        <v>309</v>
      </c>
      <c r="L179" s="6" t="e">
        <f>(-H179+G179)/G179</f>
        <v>#VALUE!</v>
      </c>
      <c r="M179" s="18"/>
      <c r="N179" s="18"/>
    </row>
    <row r="180" spans="1:14" s="26" customFormat="1" x14ac:dyDescent="0.3">
      <c r="A180" s="11" t="s">
        <v>190</v>
      </c>
      <c r="B180" s="11" t="s">
        <v>190</v>
      </c>
      <c r="C180" s="16" t="s">
        <v>481</v>
      </c>
      <c r="D180" s="37" t="s">
        <v>35</v>
      </c>
      <c r="E180" s="62" t="s">
        <v>1001</v>
      </c>
      <c r="F180" s="62" t="s">
        <v>1001</v>
      </c>
      <c r="G180" s="63" t="s">
        <v>1002</v>
      </c>
      <c r="H180" s="63" t="s">
        <v>1003</v>
      </c>
      <c r="I180" s="63" t="s">
        <v>1004</v>
      </c>
      <c r="J180" s="63" t="s">
        <v>1005</v>
      </c>
      <c r="K180" s="24" t="s">
        <v>310</v>
      </c>
      <c r="L180" s="6" t="e">
        <f>(-H180+G180)/G180</f>
        <v>#VALUE!</v>
      </c>
      <c r="M180" s="18"/>
      <c r="N180" s="18"/>
    </row>
    <row r="181" spans="1:14" s="26" customFormat="1" x14ac:dyDescent="0.3">
      <c r="A181" s="11" t="s">
        <v>191</v>
      </c>
      <c r="B181" s="11" t="s">
        <v>191</v>
      </c>
      <c r="C181" s="16" t="s">
        <v>482</v>
      </c>
      <c r="D181" s="37" t="s">
        <v>35</v>
      </c>
      <c r="E181" s="62" t="s">
        <v>1006</v>
      </c>
      <c r="F181" s="62" t="s">
        <v>1006</v>
      </c>
      <c r="G181" s="63" t="s">
        <v>1007</v>
      </c>
      <c r="H181" s="63" t="s">
        <v>1008</v>
      </c>
      <c r="I181" s="63" t="s">
        <v>1009</v>
      </c>
      <c r="J181" s="63" t="s">
        <v>1010</v>
      </c>
      <c r="K181" s="24" t="s">
        <v>311</v>
      </c>
      <c r="L181" s="6" t="e">
        <f>(-H181+G181)/G181</f>
        <v>#VALUE!</v>
      </c>
      <c r="M181" s="18"/>
      <c r="N181" s="18"/>
    </row>
    <row r="182" spans="1:14" s="26" customFormat="1" x14ac:dyDescent="0.3">
      <c r="A182" s="11" t="s">
        <v>192</v>
      </c>
      <c r="B182" s="11" t="s">
        <v>192</v>
      </c>
      <c r="C182" s="16" t="s">
        <v>483</v>
      </c>
      <c r="D182" s="37" t="s">
        <v>35</v>
      </c>
      <c r="E182" s="62" t="s">
        <v>1011</v>
      </c>
      <c r="F182" s="62" t="s">
        <v>1011</v>
      </c>
      <c r="G182" s="63" t="s">
        <v>1012</v>
      </c>
      <c r="H182" s="63" t="s">
        <v>1013</v>
      </c>
      <c r="I182" s="63" t="s">
        <v>1014</v>
      </c>
      <c r="J182" s="63" t="s">
        <v>1015</v>
      </c>
      <c r="K182" s="24" t="s">
        <v>312</v>
      </c>
      <c r="L182" s="6" t="e">
        <f>(-H182+G182)/G182</f>
        <v>#VALUE!</v>
      </c>
      <c r="M182" s="18"/>
      <c r="N182" s="18"/>
    </row>
    <row r="183" spans="1:14" s="26" customFormat="1" x14ac:dyDescent="0.3">
      <c r="A183" s="11" t="s">
        <v>193</v>
      </c>
      <c r="B183" s="11" t="s">
        <v>193</v>
      </c>
      <c r="C183" s="43" t="s">
        <v>484</v>
      </c>
      <c r="D183" s="37" t="s">
        <v>24</v>
      </c>
      <c r="E183" s="62" t="s">
        <v>991</v>
      </c>
      <c r="F183" s="62">
        <v>7</v>
      </c>
      <c r="G183" s="63" t="s">
        <v>992</v>
      </c>
      <c r="H183" s="63" t="s">
        <v>993</v>
      </c>
      <c r="I183" s="63" t="s">
        <v>994</v>
      </c>
      <c r="J183" s="63" t="s">
        <v>995</v>
      </c>
      <c r="K183" s="17" t="s">
        <v>278</v>
      </c>
      <c r="L183" s="6" t="e">
        <f>(-H183+G183)/G183</f>
        <v>#VALUE!</v>
      </c>
      <c r="M183" s="18"/>
      <c r="N183" s="18"/>
    </row>
    <row r="184" spans="1:14" s="26" customFormat="1" x14ac:dyDescent="0.3">
      <c r="A184" s="11" t="s">
        <v>194</v>
      </c>
      <c r="B184" s="11" t="s">
        <v>194</v>
      </c>
      <c r="C184" s="16" t="s">
        <v>485</v>
      </c>
      <c r="D184" s="37" t="s">
        <v>35</v>
      </c>
      <c r="E184" s="62">
        <v>12</v>
      </c>
      <c r="F184" s="62">
        <v>12</v>
      </c>
      <c r="G184" s="63" t="s">
        <v>976</v>
      </c>
      <c r="H184" s="63" t="s">
        <v>944</v>
      </c>
      <c r="I184" s="63" t="s">
        <v>863</v>
      </c>
      <c r="J184" s="63">
        <v>18</v>
      </c>
      <c r="K184" s="24" t="s">
        <v>313</v>
      </c>
      <c r="L184" s="6" t="e">
        <f>(-H184+G184)/G184</f>
        <v>#VALUE!</v>
      </c>
      <c r="M184" s="18"/>
      <c r="N184" s="18"/>
    </row>
    <row r="185" spans="1:14" s="26" customFormat="1" x14ac:dyDescent="0.3">
      <c r="A185" s="11" t="s">
        <v>195</v>
      </c>
      <c r="B185" s="11" t="s">
        <v>195</v>
      </c>
      <c r="C185" s="16" t="s">
        <v>486</v>
      </c>
      <c r="D185" s="37" t="s">
        <v>35</v>
      </c>
      <c r="E185" s="62" t="s">
        <v>1016</v>
      </c>
      <c r="F185" s="62" t="s">
        <v>1016</v>
      </c>
      <c r="G185" s="63" t="s">
        <v>1017</v>
      </c>
      <c r="H185" s="63" t="s">
        <v>1018</v>
      </c>
      <c r="I185" s="63" t="s">
        <v>1019</v>
      </c>
      <c r="J185" s="63" t="s">
        <v>1020</v>
      </c>
      <c r="K185" s="24" t="s">
        <v>314</v>
      </c>
      <c r="L185" s="6" t="e">
        <f>(-H185+G185)/G185</f>
        <v>#VALUE!</v>
      </c>
      <c r="M185" s="18"/>
      <c r="N185" s="18"/>
    </row>
    <row r="186" spans="1:14" s="26" customFormat="1" x14ac:dyDescent="0.3">
      <c r="A186" s="11" t="s">
        <v>196</v>
      </c>
      <c r="B186" s="11" t="s">
        <v>196</v>
      </c>
      <c r="C186" s="16" t="s">
        <v>487</v>
      </c>
      <c r="D186" s="37" t="s">
        <v>108</v>
      </c>
      <c r="E186" s="62" t="s">
        <v>905</v>
      </c>
      <c r="F186" s="62" t="s">
        <v>905</v>
      </c>
      <c r="G186" s="63" t="s">
        <v>1021</v>
      </c>
      <c r="H186" s="63" t="s">
        <v>1022</v>
      </c>
      <c r="I186" s="63" t="s">
        <v>1023</v>
      </c>
      <c r="J186" s="63" t="s">
        <v>1024</v>
      </c>
      <c r="K186" s="24" t="s">
        <v>315</v>
      </c>
      <c r="L186" s="6" t="e">
        <f>(-H186+G186)/G186</f>
        <v>#VALUE!</v>
      </c>
      <c r="M186" s="18"/>
      <c r="N186" s="18"/>
    </row>
    <row r="187" spans="1:14" s="26" customFormat="1" x14ac:dyDescent="0.3">
      <c r="A187" s="11" t="s">
        <v>197</v>
      </c>
      <c r="B187" s="11" t="s">
        <v>197</v>
      </c>
      <c r="C187" s="16" t="s">
        <v>488</v>
      </c>
      <c r="D187" s="37" t="s">
        <v>35</v>
      </c>
      <c r="E187" s="62" t="s">
        <v>865</v>
      </c>
      <c r="F187" s="62" t="s">
        <v>865</v>
      </c>
      <c r="G187" s="63" t="s">
        <v>1025</v>
      </c>
      <c r="H187" s="63" t="s">
        <v>1026</v>
      </c>
      <c r="I187" s="63" t="s">
        <v>1027</v>
      </c>
      <c r="J187" s="63" t="s">
        <v>1028</v>
      </c>
      <c r="K187" s="24" t="s">
        <v>316</v>
      </c>
      <c r="L187" s="6" t="e">
        <f>(-H187+G187)/G187</f>
        <v>#VALUE!</v>
      </c>
      <c r="M187" s="18"/>
      <c r="N187" s="18"/>
    </row>
    <row r="188" spans="1:14" s="1" customFormat="1" x14ac:dyDescent="0.3">
      <c r="A188" s="11" t="s">
        <v>198</v>
      </c>
      <c r="B188" s="11" t="s">
        <v>198</v>
      </c>
      <c r="C188" s="16" t="s">
        <v>489</v>
      </c>
      <c r="D188" s="37" t="s">
        <v>35</v>
      </c>
      <c r="E188" s="62">
        <v>69</v>
      </c>
      <c r="F188" s="62">
        <v>69</v>
      </c>
      <c r="G188" s="63" t="s">
        <v>1029</v>
      </c>
      <c r="H188" s="63" t="s">
        <v>1030</v>
      </c>
      <c r="I188" s="63" t="s">
        <v>1031</v>
      </c>
      <c r="J188" s="63" t="s">
        <v>1032</v>
      </c>
      <c r="K188" s="24" t="s">
        <v>317</v>
      </c>
      <c r="L188" s="6" t="e">
        <f>(-H188+G188)/G188</f>
        <v>#VALUE!</v>
      </c>
      <c r="M188" s="18"/>
      <c r="N188" s="18"/>
    </row>
    <row r="189" spans="1:14" s="26" customFormat="1" x14ac:dyDescent="0.3">
      <c r="A189" s="11" t="s">
        <v>199</v>
      </c>
      <c r="B189" s="11" t="s">
        <v>199</v>
      </c>
      <c r="C189" s="16" t="s">
        <v>490</v>
      </c>
      <c r="D189" s="37" t="s">
        <v>35</v>
      </c>
      <c r="E189" s="62" t="s">
        <v>1089</v>
      </c>
      <c r="F189" s="62" t="s">
        <v>1089</v>
      </c>
      <c r="G189" s="63" t="s">
        <v>1033</v>
      </c>
      <c r="H189" s="63" t="s">
        <v>729</v>
      </c>
      <c r="I189" s="63" t="s">
        <v>1034</v>
      </c>
      <c r="J189" s="63" t="s">
        <v>1035</v>
      </c>
      <c r="K189" s="24" t="s">
        <v>318</v>
      </c>
      <c r="L189" s="6" t="e">
        <f>(-H189+G189)/G189</f>
        <v>#VALUE!</v>
      </c>
      <c r="M189" s="18"/>
      <c r="N189" s="18"/>
    </row>
    <row r="190" spans="1:14" s="26" customFormat="1" x14ac:dyDescent="0.3">
      <c r="A190" s="11" t="s">
        <v>200</v>
      </c>
      <c r="B190" s="11" t="s">
        <v>200</v>
      </c>
      <c r="C190" s="16" t="s">
        <v>491</v>
      </c>
      <c r="D190" s="37" t="s">
        <v>35</v>
      </c>
      <c r="E190" s="62" t="s">
        <v>1090</v>
      </c>
      <c r="F190" s="62" t="s">
        <v>1090</v>
      </c>
      <c r="G190" s="63" t="s">
        <v>1036</v>
      </c>
      <c r="H190" s="63" t="s">
        <v>558</v>
      </c>
      <c r="I190" s="63" t="s">
        <v>1037</v>
      </c>
      <c r="J190" s="63" t="s">
        <v>1038</v>
      </c>
      <c r="K190" s="24" t="s">
        <v>319</v>
      </c>
      <c r="L190" s="6" t="e">
        <f>(-H190+G190)/G190</f>
        <v>#VALUE!</v>
      </c>
      <c r="M190" s="18"/>
      <c r="N190" s="18"/>
    </row>
    <row r="191" spans="1:14" s="26" customFormat="1" x14ac:dyDescent="0.3">
      <c r="A191" s="11" t="s">
        <v>201</v>
      </c>
      <c r="B191" s="11" t="s">
        <v>201</v>
      </c>
      <c r="C191" s="16" t="s">
        <v>492</v>
      </c>
      <c r="D191" s="37" t="s">
        <v>35</v>
      </c>
      <c r="E191" s="62" t="s">
        <v>1091</v>
      </c>
      <c r="F191" s="62" t="s">
        <v>1091</v>
      </c>
      <c r="G191" s="63" t="s">
        <v>1039</v>
      </c>
      <c r="H191" s="63" t="s">
        <v>1040</v>
      </c>
      <c r="I191" s="63" t="s">
        <v>1041</v>
      </c>
      <c r="J191" s="63" t="s">
        <v>1042</v>
      </c>
      <c r="K191" s="24" t="s">
        <v>318</v>
      </c>
      <c r="L191" s="6" t="e">
        <f>(-H191+G191)/G191</f>
        <v>#VALUE!</v>
      </c>
      <c r="M191" s="18"/>
      <c r="N191" s="18"/>
    </row>
    <row r="192" spans="1:14" s="26" customFormat="1" x14ac:dyDescent="0.3">
      <c r="A192" s="11" t="s">
        <v>202</v>
      </c>
      <c r="B192" s="11" t="s">
        <v>202</v>
      </c>
      <c r="C192" s="45" t="s">
        <v>493</v>
      </c>
      <c r="D192" s="37" t="s">
        <v>211</v>
      </c>
      <c r="E192" s="62" t="s">
        <v>1092</v>
      </c>
      <c r="F192" s="62" t="s">
        <v>1092</v>
      </c>
      <c r="G192" s="63" t="s">
        <v>1043</v>
      </c>
      <c r="H192" s="63" t="s">
        <v>1044</v>
      </c>
      <c r="I192" s="63" t="s">
        <v>1045</v>
      </c>
      <c r="J192" s="63" t="s">
        <v>1046</v>
      </c>
      <c r="K192" s="24" t="s">
        <v>320</v>
      </c>
      <c r="L192" s="6" t="e">
        <f>(-H192+G192)/G192</f>
        <v>#VALUE!</v>
      </c>
      <c r="M192" s="18"/>
      <c r="N192" s="18"/>
    </row>
    <row r="193" spans="1:14" s="26" customFormat="1" x14ac:dyDescent="0.3">
      <c r="A193" s="11" t="s">
        <v>203</v>
      </c>
      <c r="B193" s="11" t="s">
        <v>203</v>
      </c>
      <c r="C193" s="46" t="s">
        <v>494</v>
      </c>
      <c r="D193" s="37" t="s">
        <v>211</v>
      </c>
      <c r="E193" s="62" t="s">
        <v>1093</v>
      </c>
      <c r="F193" s="62" t="s">
        <v>1093</v>
      </c>
      <c r="G193" s="63" t="s">
        <v>1047</v>
      </c>
      <c r="H193" s="63" t="s">
        <v>735</v>
      </c>
      <c r="I193" s="63" t="s">
        <v>736</v>
      </c>
      <c r="J193" s="63" t="s">
        <v>737</v>
      </c>
      <c r="K193" s="24" t="s">
        <v>321</v>
      </c>
      <c r="L193" s="6" t="e">
        <f>(-H193+G193)/G193</f>
        <v>#VALUE!</v>
      </c>
      <c r="M193" s="18"/>
      <c r="N193" s="18"/>
    </row>
    <row r="194" spans="1:14" s="26" customFormat="1" x14ac:dyDescent="0.3">
      <c r="A194" s="11" t="s">
        <v>204</v>
      </c>
      <c r="B194" s="11" t="s">
        <v>204</v>
      </c>
      <c r="C194" s="46" t="s">
        <v>495</v>
      </c>
      <c r="D194" s="37" t="s">
        <v>211</v>
      </c>
      <c r="E194" s="62" t="s">
        <v>1094</v>
      </c>
      <c r="F194" s="62" t="s">
        <v>1094</v>
      </c>
      <c r="G194" s="63" t="s">
        <v>713</v>
      </c>
      <c r="H194" s="63" t="s">
        <v>663</v>
      </c>
      <c r="I194" s="63" t="s">
        <v>1048</v>
      </c>
      <c r="J194" s="63" t="s">
        <v>1049</v>
      </c>
      <c r="K194" s="24" t="s">
        <v>322</v>
      </c>
      <c r="L194" s="6" t="e">
        <f>(-H194+G194)/G194</f>
        <v>#VALUE!</v>
      </c>
      <c r="M194" s="18"/>
      <c r="N194" s="18"/>
    </row>
    <row r="195" spans="1:14" s="26" customFormat="1" x14ac:dyDescent="0.3">
      <c r="A195" s="11" t="s">
        <v>205</v>
      </c>
      <c r="B195" s="11" t="s">
        <v>205</v>
      </c>
      <c r="C195" s="46" t="s">
        <v>496</v>
      </c>
      <c r="D195" s="37" t="s">
        <v>211</v>
      </c>
      <c r="E195" s="62" t="s">
        <v>1095</v>
      </c>
      <c r="F195" s="62" t="s">
        <v>1095</v>
      </c>
      <c r="G195" s="63" t="s">
        <v>673</v>
      </c>
      <c r="H195" s="63" t="s">
        <v>1050</v>
      </c>
      <c r="I195" s="63" t="s">
        <v>750</v>
      </c>
      <c r="J195" s="63" t="s">
        <v>1051</v>
      </c>
      <c r="K195" s="24" t="s">
        <v>323</v>
      </c>
      <c r="L195" s="6" t="e">
        <f>(-H195+G195)/G195</f>
        <v>#VALUE!</v>
      </c>
      <c r="M195" s="18"/>
      <c r="N195" s="18"/>
    </row>
    <row r="196" spans="1:14" s="26" customFormat="1" x14ac:dyDescent="0.3">
      <c r="A196" s="11" t="s">
        <v>206</v>
      </c>
      <c r="B196" s="11" t="s">
        <v>206</v>
      </c>
      <c r="C196" s="43" t="s">
        <v>497</v>
      </c>
      <c r="D196" s="37" t="s">
        <v>24</v>
      </c>
      <c r="E196" s="62">
        <v>16</v>
      </c>
      <c r="F196" s="62">
        <v>15</v>
      </c>
      <c r="G196" s="63" t="s">
        <v>1052</v>
      </c>
      <c r="H196" s="63" t="s">
        <v>984</v>
      </c>
      <c r="I196" s="63" t="s">
        <v>1053</v>
      </c>
      <c r="J196" s="63" t="s">
        <v>986</v>
      </c>
      <c r="K196" s="24" t="s">
        <v>278</v>
      </c>
      <c r="L196" s="6" t="e">
        <f>(-H196+G196)/G196</f>
        <v>#VALUE!</v>
      </c>
      <c r="M196" s="18"/>
      <c r="N196" s="18"/>
    </row>
    <row r="197" spans="1:14" s="26" customFormat="1" x14ac:dyDescent="0.3">
      <c r="A197" s="11" t="s">
        <v>207</v>
      </c>
      <c r="B197" s="11" t="s">
        <v>207</v>
      </c>
      <c r="C197" s="43" t="s">
        <v>498</v>
      </c>
      <c r="D197" s="37" t="s">
        <v>24</v>
      </c>
      <c r="E197" s="62" t="s">
        <v>615</v>
      </c>
      <c r="F197" s="62" t="s">
        <v>615</v>
      </c>
      <c r="G197" s="63" t="s">
        <v>1054</v>
      </c>
      <c r="H197" s="63" t="s">
        <v>1055</v>
      </c>
      <c r="I197" s="63" t="s">
        <v>1056</v>
      </c>
      <c r="J197" s="63" t="s">
        <v>1057</v>
      </c>
      <c r="K197" s="24" t="s">
        <v>276</v>
      </c>
      <c r="L197" s="6" t="e">
        <f>(-H197+G197)/G197</f>
        <v>#VALUE!</v>
      </c>
      <c r="M197" s="18"/>
      <c r="N197" s="18"/>
    </row>
    <row r="198" spans="1:14" s="26" customFormat="1" x14ac:dyDescent="0.3">
      <c r="A198" s="11" t="s">
        <v>208</v>
      </c>
      <c r="B198" s="11" t="s">
        <v>208</v>
      </c>
      <c r="C198" s="43" t="s">
        <v>499</v>
      </c>
      <c r="D198" s="37" t="s">
        <v>24</v>
      </c>
      <c r="E198" s="62">
        <v>35</v>
      </c>
      <c r="F198" s="62">
        <v>35</v>
      </c>
      <c r="G198" s="63" t="s">
        <v>1058</v>
      </c>
      <c r="H198" s="63" t="s">
        <v>1059</v>
      </c>
      <c r="I198" s="63" t="s">
        <v>1060</v>
      </c>
      <c r="J198" s="63" t="s">
        <v>1061</v>
      </c>
      <c r="K198" s="24" t="s">
        <v>276</v>
      </c>
      <c r="L198" s="6" t="e">
        <f>(-H198+G198)/G198</f>
        <v>#VALUE!</v>
      </c>
      <c r="M198" s="18"/>
      <c r="N198" s="18"/>
    </row>
    <row r="199" spans="1:14" s="26" customFormat="1" x14ac:dyDescent="0.3">
      <c r="A199" s="11" t="s">
        <v>209</v>
      </c>
      <c r="B199" s="11" t="s">
        <v>209</v>
      </c>
      <c r="C199" s="16"/>
      <c r="D199" s="37"/>
      <c r="E199" s="62"/>
      <c r="F199" s="62"/>
      <c r="G199" s="63"/>
      <c r="H199" s="63"/>
      <c r="I199" s="63"/>
      <c r="J199" s="63"/>
      <c r="K199" s="24" t="s">
        <v>278</v>
      </c>
      <c r="L199" s="6"/>
    </row>
    <row r="200" spans="1:14" s="26" customFormat="1" x14ac:dyDescent="0.3">
      <c r="A200" s="11" t="s">
        <v>210</v>
      </c>
      <c r="B200" s="11" t="s">
        <v>210</v>
      </c>
      <c r="C200" s="16"/>
      <c r="D200" s="37"/>
      <c r="E200" s="62"/>
      <c r="F200" s="62"/>
      <c r="G200" s="63"/>
      <c r="H200" s="63"/>
      <c r="I200" s="63"/>
      <c r="J200" s="63"/>
      <c r="K200" s="24" t="s">
        <v>278</v>
      </c>
      <c r="L200" s="6"/>
    </row>
    <row r="201" spans="1:14" s="26" customFormat="1" x14ac:dyDescent="0.3">
      <c r="A201" s="11" t="s">
        <v>215</v>
      </c>
      <c r="B201" s="11" t="s">
        <v>215</v>
      </c>
      <c r="C201" s="16"/>
      <c r="D201" s="37"/>
      <c r="E201" s="19"/>
      <c r="F201" s="19"/>
      <c r="G201" s="38"/>
      <c r="H201" s="38"/>
      <c r="I201" s="38"/>
      <c r="J201" s="38"/>
      <c r="K201" s="24" t="s">
        <v>278</v>
      </c>
      <c r="L201" s="6"/>
    </row>
    <row r="202" spans="1:14" s="26" customFormat="1" x14ac:dyDescent="0.3">
      <c r="A202" s="11" t="s">
        <v>216</v>
      </c>
      <c r="B202" s="11" t="s">
        <v>216</v>
      </c>
      <c r="C202" s="16"/>
      <c r="D202" s="37"/>
      <c r="E202" s="19"/>
      <c r="F202" s="19"/>
      <c r="G202" s="38"/>
      <c r="H202" s="38"/>
      <c r="I202" s="38"/>
      <c r="J202" s="38"/>
      <c r="K202" s="24" t="s">
        <v>278</v>
      </c>
      <c r="L202" s="6"/>
    </row>
    <row r="203" spans="1:14" s="26" customFormat="1" x14ac:dyDescent="0.3">
      <c r="A203" s="11" t="s">
        <v>217</v>
      </c>
      <c r="B203" s="11" t="s">
        <v>217</v>
      </c>
      <c r="C203" s="16"/>
      <c r="D203" s="37"/>
      <c r="E203" s="19"/>
      <c r="F203" s="19"/>
      <c r="G203" s="38"/>
      <c r="H203" s="38"/>
      <c r="I203" s="38"/>
      <c r="J203" s="38"/>
      <c r="K203" s="24" t="s">
        <v>278</v>
      </c>
      <c r="L203" s="6"/>
    </row>
    <row r="204" spans="1:14" s="26" customFormat="1" x14ac:dyDescent="0.3">
      <c r="A204" s="11" t="s">
        <v>218</v>
      </c>
      <c r="B204" s="11" t="s">
        <v>218</v>
      </c>
      <c r="C204" s="16"/>
      <c r="D204" s="37"/>
      <c r="E204" s="19"/>
      <c r="F204" s="19"/>
      <c r="G204" s="38"/>
      <c r="H204" s="38"/>
      <c r="I204" s="38"/>
      <c r="J204" s="38"/>
      <c r="K204" s="24" t="s">
        <v>278</v>
      </c>
      <c r="L204" s="6"/>
    </row>
    <row r="205" spans="1:14" s="26" customFormat="1" x14ac:dyDescent="0.3">
      <c r="A205" s="11" t="s">
        <v>219</v>
      </c>
      <c r="B205" s="11" t="s">
        <v>219</v>
      </c>
      <c r="C205" s="16"/>
      <c r="D205" s="37"/>
      <c r="E205" s="19"/>
      <c r="F205" s="19"/>
      <c r="G205" s="38"/>
      <c r="H205" s="38"/>
      <c r="I205" s="38"/>
      <c r="J205" s="38"/>
      <c r="K205" s="24" t="s">
        <v>278</v>
      </c>
      <c r="L205" s="6"/>
    </row>
    <row r="206" spans="1:14" s="26" customFormat="1" x14ac:dyDescent="0.3">
      <c r="A206" s="11" t="s">
        <v>220</v>
      </c>
      <c r="B206" s="11" t="s">
        <v>220</v>
      </c>
      <c r="C206" s="16"/>
      <c r="D206" s="37"/>
      <c r="E206" s="19"/>
      <c r="F206" s="19"/>
      <c r="G206" s="38"/>
      <c r="H206" s="38"/>
      <c r="I206" s="38"/>
      <c r="J206" s="38"/>
      <c r="K206" s="24" t="s">
        <v>278</v>
      </c>
      <c r="L206" s="6"/>
    </row>
    <row r="207" spans="1:14" s="26" customFormat="1" x14ac:dyDescent="0.3">
      <c r="A207" s="11" t="s">
        <v>221</v>
      </c>
      <c r="B207" s="11" t="s">
        <v>221</v>
      </c>
      <c r="C207" s="16"/>
      <c r="D207" s="37"/>
      <c r="E207" s="19"/>
      <c r="F207" s="19"/>
      <c r="G207" s="38"/>
      <c r="H207" s="38"/>
      <c r="I207" s="38"/>
      <c r="J207" s="38"/>
      <c r="K207" s="24" t="s">
        <v>278</v>
      </c>
      <c r="L207" s="6"/>
    </row>
    <row r="208" spans="1:14" s="26" customFormat="1" x14ac:dyDescent="0.3">
      <c r="A208" s="11" t="s">
        <v>222</v>
      </c>
      <c r="B208" s="11" t="s">
        <v>222</v>
      </c>
      <c r="C208" s="16"/>
      <c r="D208" s="37"/>
      <c r="E208" s="19"/>
      <c r="F208" s="19"/>
      <c r="G208" s="38"/>
      <c r="H208" s="38"/>
      <c r="I208" s="38"/>
      <c r="J208" s="38"/>
      <c r="K208" s="24" t="s">
        <v>278</v>
      </c>
      <c r="L208" s="6"/>
    </row>
  </sheetData>
  <mergeCells count="1">
    <mergeCell ref="E3:F3"/>
  </mergeCells>
  <pageMargins left="0.75" right="0.75" top="0.21" bottom="0.34" header="0" footer="0"/>
  <pageSetup scale="60" orientation="portrait" horizontalDpi="180" verticalDpi="144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Costo M.P.yMat.</vt:lpstr>
      <vt:lpstr>Costo M.P.yMat.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Antequera Caballero</dc:creator>
  <cp:lastModifiedBy>Rafael Antequera Caballero</cp:lastModifiedBy>
  <dcterms:created xsi:type="dcterms:W3CDTF">2024-04-04T19:28:30Z</dcterms:created>
  <dcterms:modified xsi:type="dcterms:W3CDTF">2024-04-08T15:58:53Z</dcterms:modified>
</cp:coreProperties>
</file>